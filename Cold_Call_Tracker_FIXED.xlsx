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 COMMAND TRACKER" sheetId="1" state="visible" r:id="rId1"/>
    <sheet name="🔥 HOT LEADS" sheetId="2" state="visible" r:id="rId2"/>
    <sheet name="📅 FOLLOW-UP ENGINE" sheetId="3" state="visible" r:id="rId3"/>
    <sheet name="📊 PIPELINE DASHBOARD" sheetId="4" state="visible" r:id="rId4"/>
    <sheet name="📋 BOOKED MEETINGS" sheetId="5" state="visible" r:id="rId5"/>
    <sheet name="📖 HOW TO USE" sheetId="6" state="visible" r:id="rId6"/>
  </sheets>
  <definedNames/>
  <calcPr calcId="124519" fullCalcOnLoad="1"/>
</workbook>
</file>

<file path=xl/styles.xml><?xml version="1.0" encoding="utf-8"?>
<styleSheet xmlns="http://schemas.openxmlformats.org/spreadsheetml/2006/main">
  <numFmts count="5">
    <numFmt numFmtId="164" formatCode="0\%"/>
    <numFmt numFmtId="165" formatCode="mm/dd/yyyy"/>
    <numFmt numFmtId="166" formatCode="0&quot; days&quot;"/>
    <numFmt numFmtId="167" formatCode="0.0%"/>
    <numFmt numFmtId="168" formatCode="0.0"/>
  </numFmts>
  <fonts count="46">
    <font>
      <name val="Calibri"/>
      <color theme="1"/>
      <sz val="11"/>
      <scheme val="minor"/>
    </font>
    <font>
      <name val="Calibri"/>
      <b val="1"/>
      <color rgb="FF21E68A"/>
      <sz val="14"/>
    </font>
    <font/>
    <font>
      <name val="Calibri"/>
      <b val="1"/>
      <color rgb="FF21E68A"/>
      <sz val="9"/>
    </font>
    <font>
      <name val="Calibri"/>
      <b val="1"/>
      <color rgb="FFEAF0FF"/>
      <sz val="8"/>
    </font>
    <font>
      <name val="Calibri"/>
      <color rgb="FFFFFFFF"/>
      <sz val="11"/>
    </font>
    <font>
      <name val="Calibri"/>
      <color rgb="FFFFFFFF"/>
      <u val="single"/>
      <scheme val="minor"/>
    </font>
    <font>
      <name val="Calibri"/>
      <color rgb="FF21E68A"/>
      <sz val="11"/>
      <u val="single"/>
    </font>
    <font>
      <name val="Calibri"/>
      <color theme="1"/>
      <sz val="11"/>
    </font>
    <font>
      <name val="Calibri"/>
      <color rgb="FFEAF0FF"/>
      <sz val="9"/>
    </font>
    <font>
      <name val="Calibri"/>
      <color rgb="FF21E68A"/>
      <sz val="9"/>
      <u val="single"/>
    </font>
    <font>
      <name val="Calibri"/>
      <b val="1"/>
      <color rgb="FFEAF0FF"/>
      <sz val="9"/>
    </font>
    <font>
      <name val="Calibri"/>
      <color rgb="FF21E68A"/>
      <sz val="9"/>
      <u val="single"/>
    </font>
    <font>
      <name val="Calibri"/>
      <color rgb="FFEAF0FF"/>
      <sz val="9"/>
      <u val="single"/>
    </font>
    <font>
      <name val="Calibri"/>
      <color rgb="FFFFFFFF"/>
      <sz val="9"/>
    </font>
    <font>
      <name val="Calibri"/>
      <color theme="0"/>
      <sz val="9"/>
    </font>
    <font>
      <name val="Calibri"/>
      <color rgb="FF000000"/>
      <sz val="9"/>
      <u val="single"/>
    </font>
    <font>
      <name val="Calibri"/>
      <color rgb="FF000000"/>
      <sz val="9"/>
      <u val="single"/>
    </font>
    <font>
      <name val="Calibri"/>
      <color rgb="FF000000"/>
      <sz val="9"/>
      <u val="single"/>
    </font>
    <font>
      <name val="Calibri"/>
      <color rgb="FF21E68A"/>
      <sz val="9"/>
      <u val="single"/>
    </font>
    <font>
      <name val="Calibri"/>
      <color theme="0"/>
      <sz val="9"/>
      <u val="single"/>
    </font>
    <font>
      <name val="Calibri"/>
      <color theme="1"/>
      <scheme val="minor"/>
    </font>
    <font>
      <name val="Calibri"/>
      <b val="1"/>
      <color rgb="FFEF4444"/>
      <sz val="13"/>
    </font>
    <font>
      <name val="Calibri"/>
      <i val="1"/>
      <color rgb="FF4A5568"/>
      <sz val="9"/>
    </font>
    <font>
      <name val="Calibri"/>
      <b val="1"/>
      <color rgb="FFF59E0B"/>
      <sz val="13"/>
    </font>
    <font>
      <name val="Calibri"/>
      <b val="1"/>
      <color rgb="FF8B5CF6"/>
      <sz val="14"/>
    </font>
    <font>
      <name val="Calibri"/>
      <b val="1"/>
      <color rgb="FF4A5568"/>
      <sz val="9"/>
    </font>
    <font>
      <name val="Calibri"/>
      <b val="1"/>
      <color rgb="FF21E68A"/>
      <sz val="8"/>
    </font>
    <font>
      <name val="Calibri"/>
      <b val="1"/>
      <color rgb="FFEAF0FF"/>
      <sz val="26"/>
    </font>
    <font>
      <name val="Calibri"/>
      <b val="1"/>
      <color rgb="FF34D399"/>
      <sz val="9"/>
    </font>
    <font>
      <name val="Calibri"/>
      <b val="1"/>
      <color rgb="FF34D399"/>
      <sz val="14"/>
    </font>
    <font>
      <name val="Calibri"/>
      <b val="1"/>
      <color rgb="FFF59E0B"/>
      <sz val="9"/>
    </font>
    <font>
      <name val="Calibri"/>
      <b val="1"/>
      <color rgb="FFF59E0B"/>
      <sz val="14"/>
    </font>
    <font>
      <name val="Calibri"/>
      <b val="1"/>
      <color rgb="FFF97316"/>
      <sz val="9"/>
    </font>
    <font>
      <name val="Calibri"/>
      <b val="1"/>
      <color rgb="FFF97316"/>
      <sz val="14"/>
    </font>
    <font>
      <name val="Calibri"/>
      <b val="1"/>
      <color rgb="FFEF4444"/>
      <sz val="9"/>
    </font>
    <font>
      <name val="Calibri"/>
      <b val="1"/>
      <color rgb="FFEF4444"/>
      <sz val="14"/>
    </font>
    <font>
      <name val="Calibri"/>
      <b val="1"/>
      <color rgb="FF4A5568"/>
      <sz val="14"/>
    </font>
    <font>
      <name val="Calibri"/>
      <b val="1"/>
      <color rgb="FF21E68A"/>
      <sz val="11"/>
    </font>
    <font>
      <name val="Calibri"/>
      <b val="1"/>
      <color rgb="FF3B82F6"/>
      <sz val="13"/>
    </font>
    <font>
      <name val="Calibri"/>
      <b val="1"/>
      <color rgb="FF21E68A"/>
      <sz val="16"/>
    </font>
    <font>
      <name val="Calibri"/>
      <color rgb="FF4A5568"/>
      <sz val="9"/>
    </font>
    <font>
      <name val="Calibri"/>
      <b val="1"/>
      <color rgb="FFEAF0FF"/>
      <sz val="11"/>
    </font>
    <font>
      <name val="Calibri"/>
      <b val="1"/>
      <color rgb="FF21E68A"/>
      <sz val="10"/>
    </font>
    <font>
      <name val="Calibri"/>
      <b val="1"/>
      <color rgb="FFF59E0B"/>
      <sz val="10"/>
    </font>
    <font>
      <name val="Calibri"/>
      <color rgb="FF21E68A"/>
      <sz val="9"/>
    </font>
  </fonts>
  <fills count="12">
    <fill>
      <patternFill/>
    </fill>
    <fill>
      <patternFill patternType="lightGray"/>
    </fill>
    <fill>
      <patternFill patternType="solid">
        <fgColor rgb="FF0D1219"/>
        <bgColor rgb="FF0D1219"/>
      </patternFill>
    </fill>
    <fill>
      <patternFill patternType="solid">
        <fgColor rgb="FF0B1628"/>
        <bgColor rgb="FF0B1628"/>
      </patternFill>
    </fill>
    <fill>
      <patternFill patternType="solid">
        <fgColor rgb="FF0B2014"/>
        <bgColor rgb="FF0B2014"/>
      </patternFill>
    </fill>
    <fill>
      <patternFill patternType="solid">
        <fgColor rgb="FF1A1800"/>
        <bgColor rgb="FF1A1800"/>
      </patternFill>
    </fill>
    <fill>
      <patternFill patternType="solid">
        <fgColor rgb="FF1A0B0B"/>
        <bgColor rgb="FF1A0B0B"/>
      </patternFill>
    </fill>
    <fill>
      <patternFill patternType="solid">
        <fgColor rgb="FF0A1E10"/>
        <bgColor rgb="FF0A1E10"/>
      </patternFill>
    </fill>
    <fill>
      <patternFill patternType="solid">
        <fgColor rgb="FF0B1020"/>
        <bgColor rgb="FF0B1020"/>
      </patternFill>
    </fill>
    <fill>
      <patternFill patternType="solid">
        <fgColor rgb="FF070A0F"/>
        <bgColor rgb="FF070A0F"/>
      </patternFill>
    </fill>
    <fill>
      <patternFill patternType="solid">
        <fgColor rgb="FF000000"/>
        <bgColor rgb="FF000000"/>
      </patternFill>
    </fill>
    <fill>
      <patternFill patternType="solid">
        <fgColor rgb="FF0A0E15"/>
        <bgColor rgb="FF0A0E15"/>
      </patternFill>
    </fill>
  </fills>
  <borders count="18">
    <border/>
    <border>
      <left style="thin">
        <color rgb="FF1C2A3A"/>
      </left>
      <top style="thin">
        <color rgb="FF1C2A3A"/>
      </top>
      <bottom style="thin">
        <color rgb="FF1C2A3A"/>
      </bottom>
    </border>
    <border>
      <top style="thin">
        <color rgb="FF1C2A3A"/>
      </top>
      <bottom style="thin">
        <color rgb="FF1C2A3A"/>
      </bottom>
    </border>
    <border>
      <right style="thin">
        <color rgb="FF1C2A3A"/>
      </right>
      <top style="thin">
        <color rgb="FF1C2A3A"/>
      </top>
      <bottom style="thin">
        <color rgb="FF1C2A3A"/>
      </bottom>
    </border>
    <border>
      <left style="thin">
        <color rgb="FF1C2A3A"/>
      </left>
      <right style="thin">
        <color rgb="FF1C2A3A"/>
      </right>
      <top style="thin">
        <color rgb="FF1C2A3A"/>
      </top>
      <bottom style="thin">
        <color rgb="FF1C2A3A"/>
      </bottom>
    </border>
    <border>
      <right/>
      <top style="thin">
        <color rgb="FF1C2A3A"/>
      </top>
      <bottom style="thin">
        <color rgb="FF1C2A3A"/>
      </bottom>
    </border>
    <border>
      <left/>
      <right/>
      <top/>
      <bottom/>
    </border>
    <border>
      <left/>
      <top/>
      <bottom/>
    </border>
    <border>
      <top/>
      <bottom/>
    </border>
    <border>
      <right/>
      <top/>
      <bottom/>
    </border>
    <border>
      <left style="thin">
        <color rgb="FF1C2A3A"/>
      </left>
      <top style="thin">
        <color rgb="FF1C2A3A"/>
      </top>
    </border>
    <border>
      <right style="thin">
        <color rgb="FF1C2A3A"/>
      </right>
      <top style="thin">
        <color rgb="FF1C2A3A"/>
      </top>
    </border>
    <border>
      <left style="thin">
        <color rgb="FF1C2A3A"/>
      </left>
      <bottom style="thin">
        <color rgb="FF1C2A3A"/>
      </bottom>
    </border>
    <border>
      <right style="thin">
        <color rgb="FF1C2A3A"/>
      </right>
      <bottom style="thin">
        <color rgb="FF1C2A3A"/>
      </bottom>
    </border>
    <border>
      <top style="thin">
        <color rgb="FF1C2A3A"/>
      </top>
    </border>
    <border>
      <left style="thin">
        <color rgb="FF1C2A3A"/>
      </left>
      <right/>
      <top style="thin">
        <color rgb="FF1C2A3A"/>
      </top>
      <bottom style="thin">
        <color rgb="FF1C2A3A"/>
      </bottom>
    </border>
    <border>
      <left style="thin">
        <color rgb="FF1C2A3A"/>
      </left>
    </border>
    <border>
      <right style="thin">
        <color rgb="FF1C2A3A"/>
      </right>
    </border>
  </borders>
  <cellStyleXfs count="1">
    <xf numFmtId="0" fontId="0" fillId="0" borderId="0"/>
  </cellStyleXfs>
  <cellXfs count="130">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4"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4" applyAlignment="1" pivotButton="0" quotePrefix="0" xfId="0">
      <alignment horizontal="center" vertical="center" wrapText="1"/>
    </xf>
    <xf numFmtId="0" fontId="4" fillId="2" borderId="4" applyAlignment="1" pivotButton="0" quotePrefix="0" xfId="0">
      <alignment horizontal="center" vertical="center" wrapText="1"/>
    </xf>
    <xf numFmtId="0" fontId="5" fillId="9" borderId="4" applyAlignment="1" pivotButton="0" quotePrefix="0" xfId="0">
      <alignment vertical="bottom"/>
    </xf>
    <xf numFmtId="0" fontId="6" fillId="10" borderId="0" applyAlignment="1" pivotButton="0" quotePrefix="0" xfId="0">
      <alignment horizontal="center"/>
    </xf>
    <xf numFmtId="0" fontId="5" fillId="9" borderId="4" applyAlignment="1" pivotButton="0" quotePrefix="0" xfId="0">
      <alignment horizontal="center" vertical="bottom"/>
    </xf>
    <xf numFmtId="0" fontId="7" fillId="10" borderId="4" applyAlignment="1" pivotButton="0" quotePrefix="0" xfId="0">
      <alignment horizontal="center" vertical="bottom"/>
    </xf>
    <xf numFmtId="0" fontId="8" fillId="9" borderId="4" applyAlignment="1" pivotButton="0" quotePrefix="0" xfId="0">
      <alignment vertical="bottom"/>
    </xf>
    <xf numFmtId="0" fontId="9" fillId="9" borderId="4" applyAlignment="1" pivotButton="0" quotePrefix="0" xfId="0">
      <alignment horizontal="left" vertical="center"/>
    </xf>
    <xf numFmtId="0" fontId="9" fillId="9" borderId="4" applyAlignment="1" pivotButton="0" quotePrefix="0" xfId="0">
      <alignment horizontal="center" vertical="center"/>
    </xf>
    <xf numFmtId="0" fontId="10" fillId="9" borderId="4" applyAlignment="1" pivotButton="0" quotePrefix="0" xfId="0">
      <alignment horizontal="center" vertical="center"/>
    </xf>
    <xf numFmtId="164" fontId="3" fillId="9" borderId="4" applyAlignment="1" pivotButton="0" quotePrefix="0" xfId="0">
      <alignment horizontal="center" vertical="center"/>
    </xf>
    <xf numFmtId="1" fontId="11" fillId="9" borderId="4" applyAlignment="1" pivotButton="0" quotePrefix="0" xfId="0">
      <alignment horizontal="center" vertical="center"/>
    </xf>
    <xf numFmtId="0" fontId="9" fillId="9" borderId="4" applyAlignment="1" pivotButton="0" quotePrefix="0" xfId="0">
      <alignment horizontal="center" vertical="center"/>
    </xf>
    <xf numFmtId="165" fontId="9" fillId="9" borderId="4" applyAlignment="1" pivotButton="0" quotePrefix="0" xfId="0">
      <alignment horizontal="center" vertical="center"/>
    </xf>
    <xf numFmtId="166" fontId="11" fillId="9" borderId="4" applyAlignment="1" pivotButton="0" quotePrefix="0" xfId="0">
      <alignment horizontal="center" vertical="center"/>
    </xf>
    <xf numFmtId="0" fontId="9" fillId="11" borderId="4" applyAlignment="1" pivotButton="0" quotePrefix="0" xfId="0">
      <alignment horizontal="left" vertical="center"/>
    </xf>
    <xf numFmtId="0" fontId="9" fillId="11" borderId="4" applyAlignment="1" pivotButton="0" quotePrefix="0" xfId="0">
      <alignment horizontal="center" vertical="center"/>
    </xf>
    <xf numFmtId="0" fontId="12" fillId="11" borderId="4" applyAlignment="1" pivotButton="0" quotePrefix="0" xfId="0">
      <alignment horizontal="center" vertical="center"/>
    </xf>
    <xf numFmtId="164" fontId="3" fillId="11" borderId="4" applyAlignment="1" pivotButton="0" quotePrefix="0" xfId="0">
      <alignment horizontal="center" vertical="center"/>
    </xf>
    <xf numFmtId="1" fontId="11" fillId="11" borderId="4" applyAlignment="1" pivotButton="0" quotePrefix="0" xfId="0">
      <alignment horizontal="center" vertical="center"/>
    </xf>
    <xf numFmtId="0" fontId="9" fillId="11" borderId="4" applyAlignment="1" pivotButton="0" quotePrefix="0" xfId="0">
      <alignment horizontal="center" vertical="center"/>
    </xf>
    <xf numFmtId="165" fontId="9" fillId="11" borderId="4" applyAlignment="1" pivotButton="0" quotePrefix="0" xfId="0">
      <alignment horizontal="center" vertical="center"/>
    </xf>
    <xf numFmtId="166" fontId="11" fillId="11" borderId="4" applyAlignment="1" pivotButton="0" quotePrefix="0" xfId="0">
      <alignment horizontal="center" vertical="center"/>
    </xf>
    <xf numFmtId="0" fontId="13" fillId="9" borderId="4" applyAlignment="1" pivotButton="0" quotePrefix="0" xfId="0">
      <alignment horizontal="left" vertical="center"/>
    </xf>
    <xf numFmtId="0" fontId="14" fillId="10" borderId="0" applyAlignment="1" pivotButton="0" quotePrefix="0" xfId="0">
      <alignment horizontal="left"/>
    </xf>
    <xf numFmtId="0" fontId="15" fillId="9" borderId="4" applyAlignment="1" pivotButton="0" quotePrefix="0" xfId="0">
      <alignment horizontal="center" vertical="center"/>
    </xf>
    <xf numFmtId="165" fontId="9" fillId="9" borderId="4" applyAlignment="1" pivotButton="0" quotePrefix="0" xfId="0">
      <alignment horizontal="center" vertical="center"/>
    </xf>
    <xf numFmtId="165" fontId="9" fillId="11" borderId="4" applyAlignment="1" pivotButton="0" quotePrefix="0" xfId="0">
      <alignment horizontal="center" vertical="center"/>
    </xf>
    <xf numFmtId="0" fontId="16" fillId="11" borderId="4" applyAlignment="1" pivotButton="0" quotePrefix="0" xfId="0">
      <alignment horizontal="left" vertical="center"/>
    </xf>
    <xf numFmtId="0" fontId="9" fillId="11" borderId="4" applyAlignment="1" pivotButton="0" quotePrefix="0" xfId="0">
      <alignment horizontal="left" vertical="center"/>
    </xf>
    <xf numFmtId="0" fontId="17" fillId="10" borderId="4" applyAlignment="1" pivotButton="0" quotePrefix="0" xfId="0">
      <alignment horizontal="left" vertical="center"/>
    </xf>
    <xf numFmtId="165" fontId="9" fillId="11" borderId="4" applyAlignment="1" pivotButton="0" quotePrefix="0" xfId="0">
      <alignment horizontal="left" vertical="center"/>
    </xf>
    <xf numFmtId="0" fontId="18" fillId="9" borderId="4" applyAlignment="1" pivotButton="0" quotePrefix="0" xfId="0">
      <alignment horizontal="left" vertical="center"/>
    </xf>
    <xf numFmtId="0" fontId="9" fillId="9" borderId="4" applyAlignment="1" pivotButton="0" quotePrefix="0" xfId="0">
      <alignment horizontal="left" vertical="center"/>
    </xf>
    <xf numFmtId="165" fontId="9" fillId="9" borderId="4" applyAlignment="1" pivotButton="0" quotePrefix="0" xfId="0">
      <alignment horizontal="left" vertical="center"/>
    </xf>
    <xf numFmtId="0" fontId="9" fillId="9" borderId="4" pivotButton="0" quotePrefix="0" xfId="0"/>
    <xf numFmtId="0" fontId="9" fillId="9" borderId="4" applyAlignment="1" pivotButton="0" quotePrefix="0" xfId="0">
      <alignment horizontal="center"/>
    </xf>
    <xf numFmtId="0" fontId="19" fillId="9" borderId="4" applyAlignment="1" pivotButton="0" quotePrefix="0" xfId="0">
      <alignment horizontal="center"/>
    </xf>
    <xf numFmtId="0" fontId="20" fillId="9" borderId="4" applyAlignment="1" pivotButton="0" quotePrefix="0" xfId="0">
      <alignment horizontal="center"/>
    </xf>
    <xf numFmtId="0" fontId="21" fillId="0" borderId="0" applyAlignment="1" pivotButton="0" quotePrefix="0" xfId="0">
      <alignment horizontal="center"/>
    </xf>
    <xf numFmtId="0" fontId="22" fillId="2" borderId="1" applyAlignment="1" pivotButton="0" quotePrefix="0" xfId="0">
      <alignment horizontal="center" vertical="center"/>
    </xf>
    <xf numFmtId="0" fontId="2" fillId="0" borderId="5" pivotButton="0" quotePrefix="0" xfId="0"/>
    <xf numFmtId="0" fontId="23" fillId="9" borderId="1" applyAlignment="1" pivotButton="0" quotePrefix="0" xfId="0">
      <alignment horizontal="left" vertical="center"/>
    </xf>
    <xf numFmtId="0" fontId="11" fillId="2" borderId="4" applyAlignment="1" pivotButton="0" quotePrefix="0" xfId="0">
      <alignment horizontal="center" vertical="center"/>
    </xf>
    <xf numFmtId="49" fontId="9" fillId="11" borderId="4" applyAlignment="1" pivotButton="0" quotePrefix="0" xfId="0">
      <alignment horizontal="center" vertical="center"/>
    </xf>
    <xf numFmtId="0" fontId="11" fillId="11" borderId="4" applyAlignment="1" pivotButton="0" quotePrefix="0" xfId="0">
      <alignment horizontal="center" vertical="center"/>
    </xf>
    <xf numFmtId="164" fontId="9" fillId="11" borderId="4" applyAlignment="1" pivotButton="0" quotePrefix="0" xfId="0">
      <alignment horizontal="center" vertical="center"/>
    </xf>
    <xf numFmtId="49" fontId="9" fillId="9" borderId="4" applyAlignment="1" pivotButton="0" quotePrefix="0" xfId="0">
      <alignment horizontal="center" vertical="center"/>
    </xf>
    <xf numFmtId="0" fontId="11" fillId="9" borderId="4" applyAlignment="1" pivotButton="0" quotePrefix="0" xfId="0">
      <alignment horizontal="center" vertical="center"/>
    </xf>
    <xf numFmtId="164" fontId="9" fillId="9" borderId="4" applyAlignment="1" pivotButton="0" quotePrefix="0" xfId="0">
      <alignment horizontal="center" vertical="center"/>
    </xf>
    <xf numFmtId="49" fontId="9" fillId="9" borderId="4" applyAlignment="1" pivotButton="0" quotePrefix="0" xfId="0">
      <alignment horizontal="left" vertical="center"/>
    </xf>
    <xf numFmtId="49" fontId="9" fillId="11" borderId="4" applyAlignment="1" pivotButton="0" quotePrefix="0" xfId="0">
      <alignment horizontal="left" vertical="center"/>
    </xf>
    <xf numFmtId="0" fontId="24" fillId="2" borderId="1" applyAlignment="1" pivotButton="0" quotePrefix="0" xfId="0">
      <alignment horizontal="center" vertical="center"/>
    </xf>
    <xf numFmtId="49" fontId="9" fillId="11" borderId="4" applyAlignment="1" pivotButton="0" quotePrefix="0" xfId="0">
      <alignment horizontal="center" vertical="center"/>
    </xf>
    <xf numFmtId="49" fontId="9" fillId="11" borderId="4" applyAlignment="1" pivotButton="0" quotePrefix="0" xfId="0">
      <alignment horizontal="left" vertical="center"/>
    </xf>
    <xf numFmtId="0" fontId="21" fillId="0" borderId="0" pivotButton="0" quotePrefix="0" xfId="0"/>
    <xf numFmtId="0" fontId="25" fillId="2" borderId="1" applyAlignment="1" pivotButton="0" quotePrefix="0" xfId="0">
      <alignment horizontal="center" vertical="center"/>
    </xf>
    <xf numFmtId="0" fontId="8" fillId="9" borderId="6" applyAlignment="1" pivotButton="0" quotePrefix="0" xfId="0">
      <alignment vertical="bottom"/>
    </xf>
    <xf numFmtId="0" fontId="26" fillId="9" borderId="7" applyAlignment="1" pivotButton="0" quotePrefix="0" xfId="0">
      <alignment horizontal="left" vertical="center"/>
    </xf>
    <xf numFmtId="0" fontId="2" fillId="0" borderId="8" pivotButton="0" quotePrefix="0" xfId="0"/>
    <xf numFmtId="0" fontId="2" fillId="0" borderId="9" pivotButton="0" quotePrefix="0" xfId="0"/>
    <xf numFmtId="0" fontId="27" fillId="2" borderId="1" applyAlignment="1" pivotButton="0" quotePrefix="0" xfId="0">
      <alignment horizontal="center" vertical="center"/>
    </xf>
    <xf numFmtId="0" fontId="3" fillId="11" borderId="4" applyAlignment="1" pivotButton="0" quotePrefix="0" xfId="0">
      <alignment horizontal="left" vertical="center"/>
    </xf>
    <xf numFmtId="0" fontId="1" fillId="11" borderId="4" applyAlignment="1" pivotButton="0" quotePrefix="0" xfId="0">
      <alignment horizontal="center" vertical="center"/>
    </xf>
    <xf numFmtId="1" fontId="28" fillId="11" borderId="10" applyAlignment="1" pivotButton="0" quotePrefix="0" xfId="0">
      <alignment horizontal="center" vertical="center"/>
    </xf>
    <xf numFmtId="0" fontId="2" fillId="0" borderId="11" pivotButton="0" quotePrefix="0" xfId="0"/>
    <xf numFmtId="0" fontId="29" fillId="11" borderId="4" applyAlignment="1" pivotButton="0" quotePrefix="0" xfId="0">
      <alignment horizontal="left" vertical="center"/>
    </xf>
    <xf numFmtId="0" fontId="30" fillId="11" borderId="4" applyAlignment="1" pivotButton="0" quotePrefix="0" xfId="0">
      <alignment horizontal="center" vertical="center"/>
    </xf>
    <xf numFmtId="0" fontId="2" fillId="0" borderId="12" pivotButton="0" quotePrefix="0" xfId="0"/>
    <xf numFmtId="0" fontId="2" fillId="0" borderId="13" pivotButton="0" quotePrefix="0" xfId="0"/>
    <xf numFmtId="0" fontId="31" fillId="11" borderId="4" applyAlignment="1" pivotButton="0" quotePrefix="0" xfId="0">
      <alignment horizontal="left" vertical="center"/>
    </xf>
    <xf numFmtId="0" fontId="32" fillId="11" borderId="4" applyAlignment="1" pivotButton="0" quotePrefix="0" xfId="0">
      <alignment horizontal="center" vertical="center"/>
    </xf>
    <xf numFmtId="0" fontId="27" fillId="2" borderId="1" applyAlignment="1" pivotButton="0" quotePrefix="0" xfId="0">
      <alignment horizontal="center" vertical="center"/>
    </xf>
    <xf numFmtId="0" fontId="33" fillId="11" borderId="4" applyAlignment="1" pivotButton="0" quotePrefix="0" xfId="0">
      <alignment horizontal="left" vertical="center"/>
    </xf>
    <xf numFmtId="0" fontId="34" fillId="11" borderId="4" applyAlignment="1" pivotButton="0" quotePrefix="0" xfId="0">
      <alignment horizontal="center" vertical="center"/>
    </xf>
    <xf numFmtId="1" fontId="28" fillId="10" borderId="10" applyAlignment="1" pivotButton="0" quotePrefix="0" xfId="0">
      <alignment horizontal="center" vertical="center"/>
    </xf>
    <xf numFmtId="0" fontId="35" fillId="11" borderId="4" applyAlignment="1" pivotButton="0" quotePrefix="0" xfId="0">
      <alignment horizontal="left" vertical="center"/>
    </xf>
    <xf numFmtId="0" fontId="36" fillId="11" borderId="4" applyAlignment="1" pivotButton="0" quotePrefix="0" xfId="0">
      <alignment horizontal="center" vertical="center"/>
    </xf>
    <xf numFmtId="0" fontId="26" fillId="11" borderId="4" applyAlignment="1" pivotButton="0" quotePrefix="0" xfId="0">
      <alignment horizontal="left" vertical="center"/>
    </xf>
    <xf numFmtId="0" fontId="37" fillId="11" borderId="4" applyAlignment="1" pivotButton="0" quotePrefix="0" xfId="0">
      <alignment horizontal="center" vertical="center"/>
    </xf>
    <xf numFmtId="167" fontId="38" fillId="11" borderId="1" applyAlignment="1" pivotButton="0" quotePrefix="0" xfId="0">
      <alignment horizontal="center" vertical="center"/>
    </xf>
    <xf numFmtId="0" fontId="38" fillId="11" borderId="4" applyAlignment="1" pivotButton="0" quotePrefix="0" xfId="0">
      <alignment horizontal="center" vertical="center"/>
    </xf>
    <xf numFmtId="168" fontId="38" fillId="11" borderId="1" applyAlignment="1" pivotButton="0" quotePrefix="0" xfId="0">
      <alignment horizontal="center" vertical="center"/>
    </xf>
    <xf numFmtId="164" fontId="38" fillId="11" borderId="1" applyAlignment="1" pivotButton="0" quotePrefix="0" xfId="0">
      <alignment horizontal="center" vertical="center"/>
    </xf>
    <xf numFmtId="0" fontId="39" fillId="2" borderId="1" applyAlignment="1" pivotButton="0" quotePrefix="0" xfId="0">
      <alignment horizontal="center" vertical="center"/>
    </xf>
    <xf numFmtId="0" fontId="40" fillId="10" borderId="7" applyAlignment="1" pivotButton="0" quotePrefix="0" xfId="0">
      <alignment horizontal="left" vertical="center"/>
    </xf>
    <xf numFmtId="0" fontId="21" fillId="10" borderId="0" pivotButton="0" quotePrefix="0" xfId="0"/>
    <xf numFmtId="0" fontId="41" fillId="10" borderId="6" applyAlignment="1" pivotButton="0" quotePrefix="0" xfId="0">
      <alignment horizontal="left" vertical="center"/>
    </xf>
    <xf numFmtId="0" fontId="42" fillId="10" borderId="6" applyAlignment="1" pivotButton="0" quotePrefix="0" xfId="0">
      <alignment horizontal="left" vertical="center"/>
    </xf>
    <xf numFmtId="0" fontId="43" fillId="10" borderId="6" applyAlignment="1" pivotButton="0" quotePrefix="0" xfId="0">
      <alignment horizontal="left" vertical="center"/>
    </xf>
    <xf numFmtId="0" fontId="9" fillId="10" borderId="6" applyAlignment="1" pivotButton="0" quotePrefix="0" xfId="0">
      <alignment horizontal="left" vertical="center"/>
    </xf>
    <xf numFmtId="0" fontId="9" fillId="10" borderId="7" applyAlignment="1" pivotButton="0" quotePrefix="0" xfId="0">
      <alignment horizontal="left" vertical="center"/>
    </xf>
    <xf numFmtId="0" fontId="44" fillId="10" borderId="6" applyAlignment="1" pivotButton="0" quotePrefix="0" xfId="0">
      <alignment horizontal="left" vertical="center"/>
    </xf>
    <xf numFmtId="0" fontId="45" fillId="10" borderId="6" applyAlignment="1" pivotButton="0" quotePrefix="0" xfId="0">
      <alignment horizontal="left" vertical="center"/>
    </xf>
    <xf numFmtId="0" fontId="0" fillId="0" borderId="0" pivotButton="0" quotePrefix="0" xfId="0"/>
    <xf numFmtId="0" fontId="1" fillId="2" borderId="4" applyAlignment="1" pivotButton="0" quotePrefix="0" xfId="0">
      <alignment horizontal="center" vertical="center"/>
    </xf>
    <xf numFmtId="0" fontId="0" fillId="0" borderId="2" pivotButton="0" quotePrefix="0" xfId="0"/>
    <xf numFmtId="0" fontId="0" fillId="0" borderId="3" pivotButton="0" quotePrefix="0" xfId="0"/>
    <xf numFmtId="0" fontId="3" fillId="3" borderId="4" applyAlignment="1" pivotButton="0" quotePrefix="0" xfId="0">
      <alignment horizontal="center" vertical="center"/>
    </xf>
    <xf numFmtId="0" fontId="3" fillId="5" borderId="4" applyAlignment="1" pivotButton="0" quotePrefix="0" xfId="0">
      <alignment horizontal="center" vertical="center"/>
    </xf>
    <xf numFmtId="0" fontId="3" fillId="6" borderId="4" applyAlignment="1" pivotButton="0" quotePrefix="0" xfId="0">
      <alignment horizontal="center" vertical="center"/>
    </xf>
    <xf numFmtId="0" fontId="3" fillId="7" borderId="4" applyAlignment="1" pivotButton="0" quotePrefix="0" xfId="0">
      <alignment horizontal="center" vertical="center"/>
    </xf>
    <xf numFmtId="0" fontId="3" fillId="8" borderId="4" applyAlignment="1" pivotButton="0" quotePrefix="0" xfId="0">
      <alignment horizontal="center" vertical="center"/>
    </xf>
    <xf numFmtId="0" fontId="22" fillId="2" borderId="15" applyAlignment="1" pivotButton="0" quotePrefix="0" xfId="0">
      <alignment horizontal="center" vertical="center"/>
    </xf>
    <xf numFmtId="0" fontId="23" fillId="9" borderId="15" applyAlignment="1" pivotButton="0" quotePrefix="0" xfId="0">
      <alignment horizontal="left" vertical="center"/>
    </xf>
    <xf numFmtId="0" fontId="24" fillId="2" borderId="15" applyAlignment="1" pivotButton="0" quotePrefix="0" xfId="0">
      <alignment horizontal="center" vertical="center"/>
    </xf>
    <xf numFmtId="0" fontId="25" fillId="2" borderId="15" applyAlignment="1" pivotButton="0" quotePrefix="0" xfId="0">
      <alignment horizontal="center" vertical="center"/>
    </xf>
    <xf numFmtId="0" fontId="26" fillId="9" borderId="6" applyAlignment="1" pivotButton="0" quotePrefix="0" xfId="0">
      <alignment horizontal="left" vertical="center"/>
    </xf>
    <xf numFmtId="0" fontId="27" fillId="2" borderId="15" applyAlignment="1" pivotButton="0" quotePrefix="0" xfId="0">
      <alignment horizontal="center" vertical="center"/>
    </xf>
    <xf numFmtId="1" fontId="28" fillId="11" borderId="4" applyAlignment="1" pivotButton="0" quotePrefix="0" xfId="0">
      <alignment horizontal="center" vertical="center"/>
    </xf>
    <xf numFmtId="0" fontId="0" fillId="0" borderId="11" pivotButton="0" quotePrefix="0" xfId="0"/>
    <xf numFmtId="0" fontId="0" fillId="0" borderId="12" pivotButton="0" quotePrefix="0" xfId="0"/>
    <xf numFmtId="0" fontId="0" fillId="0" borderId="13" pivotButton="0" quotePrefix="0" xfId="0"/>
    <xf numFmtId="1" fontId="28" fillId="10" borderId="4" applyAlignment="1" pivotButton="0" quotePrefix="0" xfId="0">
      <alignment horizontal="center" vertical="center"/>
    </xf>
    <xf numFmtId="167" fontId="38" fillId="11" borderId="15" applyAlignment="1" pivotButton="0" quotePrefix="0" xfId="0">
      <alignment horizontal="center" vertical="center"/>
    </xf>
    <xf numFmtId="168" fontId="38" fillId="11" borderId="15" applyAlignment="1" pivotButton="0" quotePrefix="0" xfId="0">
      <alignment horizontal="center" vertical="center"/>
    </xf>
    <xf numFmtId="164" fontId="38" fillId="11" borderId="15" applyAlignment="1" pivotButton="0" quotePrefix="0" xfId="0">
      <alignment horizontal="center" vertical="center"/>
    </xf>
    <xf numFmtId="0" fontId="39" fillId="2" borderId="15" applyAlignment="1" pivotButton="0" quotePrefix="0" xfId="0">
      <alignment horizontal="center" vertical="center"/>
    </xf>
    <xf numFmtId="0" fontId="40" fillId="10" borderId="6" applyAlignment="1" pivotButton="0" quotePrefix="0" xfId="0">
      <alignment horizontal="left" vertical="center"/>
    </xf>
  </cellXfs>
  <cellStyles count="1">
    <cellStyle name="Normal" xfId="0" builtinId="0"/>
  </cellStyles>
  <dxfs count="3">
    <dxf>
      <font>
        <b val="1"/>
        <color rgb="FFEF4444"/>
      </font>
      <fill>
        <patternFill/>
      </fill>
      <border/>
    </dxf>
    <dxf>
      <font>
        <b val="1"/>
        <color rgb="FF21E68A"/>
      </font>
      <fill>
        <patternFill/>
      </fill>
      <border/>
    </dxf>
    <dxf>
      <font/>
      <fill>
        <patternFill patternType="solid">
          <fgColor rgb="FF1A2E1A"/>
          <bgColor rgb="FF1A2E1A"/>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rankheatair.com/contact-us/" TargetMode="External" Id="rId1" /><Relationship Type="http://schemas.openxmlformats.org/officeDocument/2006/relationships/hyperlink" Target="https://bandzheatingandair.com/" TargetMode="External" Id="rId2" /><Relationship Type="http://schemas.openxmlformats.org/officeDocument/2006/relationships/hyperlink" Target="https://hansenhvacservices.com/" TargetMode="External" Id="rId3" /><Relationship Type="http://schemas.openxmlformats.org/officeDocument/2006/relationships/hyperlink" Target="mailto:info@hansenhvacservices.com" TargetMode="External" Id="rId4" /><Relationship Type="http://schemas.openxmlformats.org/officeDocument/2006/relationships/hyperlink" Target="https://www.valleyplumbing.com/" TargetMode="External" Id="rId5" /><Relationship Type="http://schemas.openxmlformats.org/officeDocument/2006/relationships/hyperlink" Target="http://www.titanair.net/" TargetMode="External" Id="rId6" /><Relationship Type="http://schemas.openxmlformats.org/officeDocument/2006/relationships/hyperlink" Target="https://allutahplumbing.com/" TargetMode="External" Id="rId7" /><Relationship Type="http://schemas.openxmlformats.org/officeDocument/2006/relationships/hyperlink" Target="https://thomasbrothershvaccontractor.com/west-jordan-ut/" TargetMode="External" Id="rId8" /><Relationship Type="http://schemas.openxmlformats.org/officeDocument/2006/relationships/hyperlink" Target="http://wasatchpeakshvac.com/" TargetMode="External" Id="rId9" /><Relationship Type="http://schemas.openxmlformats.org/officeDocument/2006/relationships/hyperlink" Target="mailto:jwoodson@wpeakshvac.com" TargetMode="External" Id="rId10" /><Relationship Type="http://schemas.openxmlformats.org/officeDocument/2006/relationships/hyperlink" Target="http://allaroundquickservices.com/?utm_source=GMBmain&amp;utm_medium=organic" TargetMode="External" Id="rId11" /><Relationship Type="http://schemas.openxmlformats.org/officeDocument/2006/relationships/hyperlink" Target="https://larsenhvac.com/?utm_source=google&amp;utm_medium=organic&amp;utm_campaign=gbp-listing" TargetMode="External" Id="rId12" /><Relationship Type="http://schemas.openxmlformats.org/officeDocument/2006/relationships/hyperlink" Target="http://dynamichvacut.rheempropartner.com/" TargetMode="External" Id="rId13" /><Relationship Type="http://schemas.openxmlformats.org/officeDocument/2006/relationships/hyperlink" Target="https://www.jandmplumbers.com/?utm_source=gbp&amp;utm_medium=organic" TargetMode="External" Id="rId14" /><Relationship Type="http://schemas.openxmlformats.org/officeDocument/2006/relationships/hyperlink" Target="https://arrowheatingairconditioningwestjordan.site/" TargetMode="External" Id="rId15" /><Relationship Type="http://schemas.openxmlformats.org/officeDocument/2006/relationships/hyperlink" Target="http://www.huishair.com/" TargetMode="External" Id="rId16" /><Relationship Type="http://schemas.openxmlformats.org/officeDocument/2006/relationships/hyperlink" Target="http://rocketplumbingheating.com/" TargetMode="External" Id="rId17" /><Relationship Type="http://schemas.openxmlformats.org/officeDocument/2006/relationships/hyperlink" Target="https://justrightair.com/?utm_source=GMB&amp;utm_medium=local&amp;utm_campaign=south-salt-lake" TargetMode="External" Id="rId18" /><Relationship Type="http://schemas.openxmlformats.org/officeDocument/2006/relationships/hyperlink" Target="https://a-1heatingandcooling.com/" TargetMode="External" Id="rId19" /><Relationship Type="http://schemas.openxmlformats.org/officeDocument/2006/relationships/hyperlink" Target="https://scotthale.com/service-areas/salt-lake-city/?utm_source=google&amp;utm_medium=organic&amp;utm_campaign=gbp" TargetMode="External" Id="rId20" /><Relationship Type="http://schemas.openxmlformats.org/officeDocument/2006/relationships/hyperlink" Target="http://www.airdesignheating.com/" TargetMode="External" Id="rId21" /><Relationship Type="http://schemas.openxmlformats.org/officeDocument/2006/relationships/hyperlink" Target="https://hpp-ut.com/" TargetMode="External" Id="rId22" /><Relationship Type="http://schemas.openxmlformats.org/officeDocument/2006/relationships/hyperlink" Target="https://www.apexcleanair.com/salt-lake-city-ut/" TargetMode="External" Id="rId23" /><Relationship Type="http://schemas.openxmlformats.org/officeDocument/2006/relationships/hyperlink" Target="https://manwill.net/" TargetMode="External" Id="rId24" /><Relationship Type="http://schemas.openxmlformats.org/officeDocument/2006/relationships/hyperlink" Target="http://www.ahc-utah.com/" TargetMode="External" Id="rId25" /><Relationship Type="http://schemas.openxmlformats.org/officeDocument/2006/relationships/hyperlink" Target="https://drive.google.com/file/d/1ExvnCCF32CuleyafKTAwtkoP7vkkMvX1/view?usp=sharing" TargetMode="External" Id="rId26" /><Relationship Type="http://schemas.openxmlformats.org/officeDocument/2006/relationships/hyperlink" Target="https://docs.google.com/document/d/1I_J-ZpqoPYvzTwuC2pGYT0Cr774X0aK-/edit?usp=sharing&amp;ouid=112691930286385642520&amp;rtpof=true&amp;sd=true" TargetMode="External" Id="rId27" /><Relationship Type="http://schemas.openxmlformats.org/officeDocument/2006/relationships/hyperlink" Target="http://www.iknowaguyhvac.com/" TargetMode="External" Id="rId28" /><Relationship Type="http://schemas.openxmlformats.org/officeDocument/2006/relationships/hyperlink" Target="https://www.sosairutah.com/?utm_source=google&amp;utm_medium=organic&amp;utm_campaign=gbp" TargetMode="External" Id="rId29" /><Relationship Type="http://schemas.openxmlformats.org/officeDocument/2006/relationships/hyperlink" Target="https://drive.google.com/file/d/1dnmhdUcqzetM7iHpSwSgxMREKN4dDYVv/view?usp=drive_link" TargetMode="External" Id="rId30" /><Relationship Type="http://schemas.openxmlformats.org/officeDocument/2006/relationships/hyperlink" Target="https://docs.google.com/document/d/113X-mymkP203WxV2xkyqJfT81cm8ShYy/edit?usp=drive_link&amp;ouid=109858813344120867453&amp;rtpof=true&amp;sd=true" TargetMode="External" Id="rId31" /><Relationship Type="http://schemas.openxmlformats.org/officeDocument/2006/relationships/hyperlink" Target="https://www.beehiveheatingandair.com/?utm_source=google&amp;utm_medium=gbp&amp;utm_campaign=bhv_organic_gbp_hvac_south-salt-lake" TargetMode="External" Id="rId32" /><Relationship Type="http://schemas.openxmlformats.org/officeDocument/2006/relationships/hyperlink" Target="https://drive.google.com/file/d/1N2q8TowGzLZ3--zP-1o4sPoG8dalUzE7/view?usp=drive_link" TargetMode="External" Id="rId33" /><Relationship Type="http://schemas.openxmlformats.org/officeDocument/2006/relationships/hyperlink" Target="https://docs.google.com/document/d/15c8GC3hW8c-Lmvd4cRmHooyu7dKvIGEX/edit?usp=drive_link&amp;ouid=112691930286385642520&amp;rtpof=true&amp;sd=true" TargetMode="External" Id="rId34" /><Relationship Type="http://schemas.openxmlformats.org/officeDocument/2006/relationships/hyperlink" Target="https://www.jonesheatingandac.com/?utm_source=google&amp;utm_medium=organic&amp;utm_campaign=gbp" TargetMode="External" Id="rId35" /><Relationship Type="http://schemas.openxmlformats.org/officeDocument/2006/relationships/hyperlink" Target="https://drive.google.com/file/d/19kl0Fbi1pnYQoAo-aoJbun8rhmX-b3Dh/view?usp=drive_link" TargetMode="External" Id="rId36" /><Relationship Type="http://schemas.openxmlformats.org/officeDocument/2006/relationships/hyperlink" Target="https://docs.google.com/document/d/1coTjFQTsqoP0JkFESxWLai7vHPtxQtL7/edit?usp=sharing&amp;ouid=112691930286385642520&amp;rtpof=true&amp;sd=true" TargetMode="External" Id="rId37" /><Relationship Type="http://schemas.openxmlformats.org/officeDocument/2006/relationships/hyperlink" Target="https://samedayutah.com/?utm_source=google&amp;utm_medium=gbp&amp;utm_campaign=sdy_organic_gbp_salt-lake-city" TargetMode="External" Id="rId38" /><Relationship Type="http://schemas.openxmlformats.org/officeDocument/2006/relationships/hyperlink" Target="https://drive.google.com/file/d/1usM8agYet9BzI63UnEddvJoLynoq8VP2/view?usp=drive_link" TargetMode="External" Id="rId39" /><Relationship Type="http://schemas.openxmlformats.org/officeDocument/2006/relationships/hyperlink" Target="https://docs.google.com/document/d/1Ot5iuYL2KPhyu09afp-wkwEPWjV2o0uk/edit?usp=drive_link&amp;ouid=112691930286385642520&amp;rtpof=true&amp;sd=true" TargetMode="External" Id="rId40" /><Relationship Type="http://schemas.openxmlformats.org/officeDocument/2006/relationships/hyperlink" Target="https://whippleplumbing.com/areas-served/west-valley-city/?utm_source=google-gbp&amp;utm_medium=organic&amp;utm_campaign=*218*whipple-service-champions-west-valley-city" TargetMode="External" Id="rId41" /><Relationship Type="http://schemas.openxmlformats.org/officeDocument/2006/relationships/hyperlink" Target="http://selectcomfortsystems.com/" TargetMode="External" Id="rId42" /><Relationship Type="http://schemas.openxmlformats.org/officeDocument/2006/relationships/hyperlink" Target="http://www.performheatingandcooling.com/" TargetMode="External" Id="rId43" /><Relationship Type="http://schemas.openxmlformats.org/officeDocument/2006/relationships/hyperlink" Target="https://www.maceheatingandair.com/?utm_source=google&amp;utm_medium=wix_google_business_profile&amp;utm_campaign=14980969904792748935" TargetMode="External" Id="rId44" /><Relationship Type="http://schemas.openxmlformats.org/officeDocument/2006/relationships/hyperlink" Target="https://superiorwaterandair.com/?utm_campaign=hvac&amp;utm_source=google&amp;utm_medium=gmb&amp;utm_content=salt%20lake%20city" TargetMode="External" Id="rId45" /><Relationship Type="http://schemas.openxmlformats.org/officeDocument/2006/relationships/hyperlink" Target="https://truehvacutah.com/" TargetMode="External" Id="rId46" /><Relationship Type="http://schemas.openxmlformats.org/officeDocument/2006/relationships/hyperlink" Target="https://superiorhvacsaltlakecity.com/" TargetMode="External" Id="rId47" /><Relationship Type="http://schemas.openxmlformats.org/officeDocument/2006/relationships/hyperlink" Target="https://aegisheatingandair.xyz/" TargetMode="External" Id="rId48" /><Relationship Type="http://schemas.openxmlformats.org/officeDocument/2006/relationships/hyperlink" Target="http://www.geltenpro.com/" TargetMode="External" Id="rId49" /><Relationship Type="http://schemas.openxmlformats.org/officeDocument/2006/relationships/hyperlink" Target="https://elevationpha.com/" TargetMode="External" Id="rId50" /><Relationship Type="http://schemas.openxmlformats.org/officeDocument/2006/relationships/hyperlink" Target="https://expertservicesutah.com/" TargetMode="External" Id="rId51" /><Relationship Type="http://schemas.openxmlformats.org/officeDocument/2006/relationships/hyperlink" Target="http://www.rapidresponseheatingandair.com/" TargetMode="External" Id="rId52" /><Relationship Type="http://schemas.openxmlformats.org/officeDocument/2006/relationships/hyperlink" Target="http://lucasheatingcooling.com/" TargetMode="External" Id="rId53" /><Relationship Type="http://schemas.openxmlformats.org/officeDocument/2006/relationships/hyperlink" Target="https://www.royalserviceut.com/?utm_source=google&amp;utm_medium=organic&amp;utm_campaign=gbpsaltlakecity" TargetMode="External" Id="rId54" /><Relationship Type="http://schemas.openxmlformats.org/officeDocument/2006/relationships/hyperlink" Target="https://actionplumbing.net/location/salt-lake-city-ut/" TargetMode="External" Id="rId55" /><Relationship Type="http://schemas.openxmlformats.org/officeDocument/2006/relationships/hyperlink" Target="https://zephyrheatingandcooling.com/" TargetMode="External" Id="rId56" /><Relationship Type="http://schemas.openxmlformats.org/officeDocument/2006/relationships/hyperlink" Target="https://westernheatingair.com/?utm_source=google&amp;utm_medium=organic&amp;utm_campaign=salt-lake-city" TargetMode="External" Id="rId57" /><Relationship Type="http://schemas.openxmlformats.org/officeDocument/2006/relationships/hyperlink" Target="https://www.saltcityplumbing.com/" TargetMode="External" Id="rId58" /><Relationship Type="http://schemas.openxmlformats.org/officeDocument/2006/relationships/hyperlink" Target="https://bdexperts.com/?utm_source=gmb&amp;utm_medium=organic" TargetMode="External" Id="rId59" /><Relationship Type="http://schemas.openxmlformats.org/officeDocument/2006/relationships/hyperlink" Target="https://utahsbesthomepros.com/" TargetMode="External" Id="rId60" /><Relationship Type="http://schemas.openxmlformats.org/officeDocument/2006/relationships/hyperlink" Target="https://www.safeheatingairutah.com/" TargetMode="External" Id="rId61" /><Relationship Type="http://schemas.openxmlformats.org/officeDocument/2006/relationships/hyperlink" Target="http://leesheatac.com/" TargetMode="External" Id="rId62" /><Relationship Type="http://schemas.openxmlformats.org/officeDocument/2006/relationships/hyperlink" Target="http://salmonhvac.com/" TargetMode="External" Id="rId63" /><Relationship Type="http://schemas.openxmlformats.org/officeDocument/2006/relationships/hyperlink" Target="http://anyhourservices.com/" TargetMode="External" Id="rId64" /><Relationship Type="http://schemas.openxmlformats.org/officeDocument/2006/relationships/hyperlink" Target="http://utah-heatingcooling.com/" TargetMode="External" Id="rId65" /><Relationship Type="http://schemas.openxmlformats.org/officeDocument/2006/relationships/hyperlink" Target="http://getparadisehvac.com/" TargetMode="External" Id="rId66" /><Relationship Type="http://schemas.openxmlformats.org/officeDocument/2006/relationships/hyperlink" Target="http://truepros.com/" TargetMode="External" Id="rId67" /><Relationship Type="http://schemas.openxmlformats.org/officeDocument/2006/relationships/hyperlink" Target="http://huskyheatingandair.com/" TargetMode="External" Id="rId68" /><Relationship Type="http://schemas.openxmlformats.org/officeDocument/2006/relationships/hyperlink" Target="http://bluebesthvac.com/" TargetMode="External" Id="rId69" /><Relationship Type="http://schemas.openxmlformats.org/officeDocument/2006/relationships/hyperlink" Target="http://goldenruleplumbing.com/" TargetMode="External" Id="rId70" /><Relationship Type="http://schemas.openxmlformats.org/officeDocument/2006/relationships/hyperlink" Target="http://csaheating.com/" TargetMode="External" Id="rId71" /><Relationship Type="http://schemas.openxmlformats.org/officeDocument/2006/relationships/hyperlink" Target="http://theyesmancan.com/" TargetMode="External" Id="rId72" /><Relationship Type="http://schemas.openxmlformats.org/officeDocument/2006/relationships/hyperlink" Target="http://utahmech.com/" TargetMode="External" Id="rId73" /><Relationship Type="http://schemas.openxmlformats.org/officeDocument/2006/relationships/hyperlink" Target="http://grimesmechanicalcompany.com/" TargetMode="External" Id="rId74" /><Relationship Type="http://schemas.openxmlformats.org/officeDocument/2006/relationships/hyperlink" Target="http://comfortsolutionsutah.com/" TargetMode="External" Id="rId75" /><Relationship Type="http://schemas.openxmlformats.org/officeDocument/2006/relationships/hyperlink" Target="http://perfectemphvac.com/" TargetMode="External" Id="rId76" /><Relationship Type="http://schemas.openxmlformats.org/officeDocument/2006/relationships/hyperlink" Target="http://mountainhomeutah.com/" TargetMode="External" Id="rId77" /><Relationship Type="http://schemas.openxmlformats.org/officeDocument/2006/relationships/hyperlink" Target="http://callclimate.com/" TargetMode="External" Id="rId78" /><Relationship Type="http://schemas.openxmlformats.org/officeDocument/2006/relationships/hyperlink" Target="http://wasatchfrontair.com/" TargetMode="External" Id="rId79" /><Relationship Type="http://schemas.openxmlformats.org/officeDocument/2006/relationships/hyperlink" Target="http://salmonhvac.com/" TargetMode="External" Id="rId80" /><Relationship Type="http://schemas.openxmlformats.org/officeDocument/2006/relationships/hyperlink" Target="http://mountainhomeutah.com/" TargetMode="External" Id="rId81" /><Relationship Type="http://schemas.openxmlformats.org/officeDocument/2006/relationships/hyperlink" Target="http://westernheatingair.com/" TargetMode="External" Id="rId82" /><Relationship Type="http://schemas.openxmlformats.org/officeDocument/2006/relationships/hyperlink" Target="http://utahamericanhvac.com/" TargetMode="External" Id="rId83" /><Relationship Type="http://schemas.openxmlformats.org/officeDocument/2006/relationships/hyperlink" Target="http://tripletheating.com/" TargetMode="External" Id="rId84" /><Relationship Type="http://schemas.openxmlformats.org/officeDocument/2006/relationships/hyperlink" Target="http://thehvacguysutah.com/" TargetMode="External" Id="rId85" /><Relationship Type="http://schemas.openxmlformats.org/officeDocument/2006/relationships/hyperlink" Target="http://mrgoodguyhvac.com/" TargetMode="External" Id="rId86" /><Relationship Type="http://schemas.openxmlformats.org/officeDocument/2006/relationships/hyperlink" Target="http://barwickheating.com/" TargetMode="External" Id="rId87" /><Relationship Type="http://schemas.openxmlformats.org/officeDocument/2006/relationships/hyperlink" Target="http://bestheatcoolutah.com/" TargetMode="External" Id="rId88" /><Relationship Type="http://schemas.openxmlformats.org/officeDocument/2006/relationships/hyperlink" Target="http://emcoutah.com/" TargetMode="External" Id="rId89" /><Relationship Type="http://schemas.openxmlformats.org/officeDocument/2006/relationships/hyperlink" Target="http://ssairconditioning.com/" TargetMode="External" Id="rId90" /><Relationship Type="http://schemas.openxmlformats.org/officeDocument/2006/relationships/hyperlink" Target="http://comfortsystemssu.com/" TargetMode="External" Id="rId91" /><Relationship Type="http://schemas.openxmlformats.org/officeDocument/2006/relationships/hyperlink" Target="http://patriothvac.com/" TargetMode="External" Id="rId92" /><Relationship Type="http://schemas.openxmlformats.org/officeDocument/2006/relationships/hyperlink" Target="http://heatwavesolutionsutah.com/" TargetMode="External" Id="rId93" /><Relationship Type="http://schemas.openxmlformats.org/officeDocument/2006/relationships/hyperlink" Target="http://carmackhvac.com/" TargetMode="External" Id="rId94" /><Relationship Type="http://schemas.openxmlformats.org/officeDocument/2006/relationships/hyperlink" Target="http://qualityairutah.com/" TargetMode="External" Id="rId95" /><Relationship Type="http://schemas.openxmlformats.org/officeDocument/2006/relationships/hyperlink" Target="http://southernutahhvacsolutions.com/" TargetMode="External" Id="rId96" /><Relationship Type="http://schemas.openxmlformats.org/officeDocument/2006/relationships/hyperlink" Target="http://davisheating.com/" TargetMode="External" Id="rId97" /><Relationship Type="http://schemas.openxmlformats.org/officeDocument/2006/relationships/hyperlink" Target="http://swiftheatac.com/" TargetMode="External" Id="rId98" /><Relationship Type="http://schemas.openxmlformats.org/officeDocument/2006/relationships/hyperlink" Target="http://ironheatingandair.com/" TargetMode="External" Id="rId99" /><Relationship Type="http://schemas.openxmlformats.org/officeDocument/2006/relationships/hyperlink" Target="http://fourseasonshvacut.com/" TargetMode="External" Id="rId100" /><Relationship Type="http://schemas.openxmlformats.org/officeDocument/2006/relationships/hyperlink" Target="http://garyricks.com/" TargetMode="External" Id="rId101" /><Relationship Type="http://schemas.openxmlformats.org/officeDocument/2006/relationships/hyperlink" Target="http://westmech-hvac.com/" TargetMode="External" Id="rId102" /><Relationship Type="http://schemas.openxmlformats.org/officeDocument/2006/relationships/hyperlink" Target="http://loganacinstall.com/" TargetMode="External" Id="rId103" /><Relationship Type="http://schemas.openxmlformats.org/officeDocument/2006/relationships/hyperlink" Target="http://mtnvalleyhvac.com/" TargetMode="External" Id="rId104" /><Relationship Type="http://schemas.openxmlformats.org/officeDocument/2006/relationships/hyperlink" Target="http://advancedheating-ac.com/" TargetMode="External" Id="rId105" /><Relationship Type="http://schemas.openxmlformats.org/officeDocument/2006/relationships/hyperlink" Target="http://rightawayplumbing.pro/" TargetMode="External" Id="rId106" /><Relationship Type="http://schemas.openxmlformats.org/officeDocument/2006/relationships/hyperlink" Target="https://infinityhvac.biz/?utm_source=gbp&amp;utm_medium=webclick" TargetMode="External" Id="rId107" /><Relationship Type="http://schemas.openxmlformats.org/officeDocument/2006/relationships/hyperlink" Target="https://greenline.expert/?utm_source=google&amp;utm_medium=local&amp;utm_campaign=1&amp;utm_content=primary" TargetMode="External" Id="rId108" /><Relationship Type="http://schemas.openxmlformats.org/officeDocument/2006/relationships/hyperlink" Target="https://www.huskyheatingandair.com/" TargetMode="External" Id="rId109" /></Relationships>
</file>

<file path=xl/worksheets/sheet1.xml><?xml version="1.0" encoding="utf-8"?>
<worksheet xmlns="http://schemas.openxmlformats.org/spreadsheetml/2006/main">
  <sheetPr>
    <tabColor rgb="FF21E68A"/>
    <outlinePr summaryBelow="1" summaryRight="1"/>
    <pageSetUpPr/>
  </sheetPr>
  <dimension ref="A1:AG1000"/>
  <sheetViews>
    <sheetView showGridLines="0" workbookViewId="0">
      <pane ySplit="4" topLeftCell="A5" activePane="bottomLeft" state="frozen"/>
      <selection pane="bottomLeft" activeCell="B6" sqref="B6"/>
    </sheetView>
  </sheetViews>
  <sheetFormatPr baseColWidth="8" defaultColWidth="14.43" defaultRowHeight="15" customHeight="1"/>
  <cols>
    <col width="22" customWidth="1" style="105" min="1" max="1"/>
    <col width="15.14" customWidth="1" style="105" min="2" max="2"/>
    <col width="12" customWidth="1" style="105" min="3" max="3"/>
    <col width="18" customWidth="1" style="105" min="4" max="5"/>
    <col width="16" customWidth="1" style="105" min="6" max="6"/>
    <col width="13" customWidth="1" style="105" min="7" max="7"/>
    <col width="9" customWidth="1" style="105" min="8" max="8"/>
    <col width="16" customWidth="1" style="105" min="9" max="9"/>
    <col width="15" customWidth="1" style="105" min="10" max="10"/>
    <col width="12" customWidth="1" style="105" min="11" max="11"/>
    <col width="18" customWidth="1" style="105" min="12" max="13"/>
    <col width="24" customWidth="1" style="105" min="14" max="16"/>
    <col width="14" customWidth="1" style="105" min="17" max="20"/>
    <col width="22" customWidth="1" style="105" min="21" max="21"/>
    <col width="11" customWidth="1" style="105" min="22" max="22"/>
    <col width="15" customWidth="1" style="105" min="23" max="23"/>
    <col width="14" customWidth="1" style="105" min="24" max="24"/>
    <col width="20" customWidth="1" style="105" min="25" max="25"/>
    <col width="18" customWidth="1" style="105" min="26" max="26"/>
    <col width="10" customWidth="1" style="105" min="27" max="27"/>
    <col width="14" customWidth="1" style="105" min="28" max="28"/>
    <col width="11" customWidth="1" style="105" min="29" max="29"/>
    <col width="13" customWidth="1" style="105" min="30" max="33"/>
  </cols>
  <sheetData>
    <row r="1" ht="39.75" customHeight="1" s="105">
      <c r="A1" s="106" t="inlineStr">
        <is>
          <t>⚡  eCON GROWTH  ·  COMMAND OS COLD CALL INTELLIGENCE  ·  POWERED BY Roger AI</t>
        </is>
      </c>
      <c r="B1" s="107" t="n"/>
      <c r="C1" s="107" t="n"/>
      <c r="D1" s="107" t="n"/>
      <c r="E1" s="107" t="n"/>
      <c r="F1" s="107" t="n"/>
      <c r="G1" s="107" t="n"/>
      <c r="H1" s="107" t="n"/>
      <c r="I1" s="107" t="n"/>
      <c r="J1" s="107" t="n"/>
      <c r="K1" s="107" t="n"/>
      <c r="L1" s="107" t="n"/>
      <c r="M1" s="107" t="n"/>
      <c r="N1" s="107" t="n"/>
      <c r="O1" s="107" t="n"/>
      <c r="P1" s="107" t="n"/>
      <c r="Q1" s="107" t="n"/>
      <c r="R1" s="107" t="n"/>
      <c r="S1" s="107" t="n"/>
      <c r="T1" s="107" t="n"/>
      <c r="U1" s="107" t="n"/>
      <c r="V1" s="107" t="n"/>
      <c r="W1" s="107" t="n"/>
      <c r="X1" s="107" t="n"/>
      <c r="Y1" s="107" t="n"/>
      <c r="Z1" s="107" t="n"/>
      <c r="AA1" s="107" t="n"/>
      <c r="AB1" s="107" t="n"/>
      <c r="AC1" s="107" t="n"/>
      <c r="AD1" s="107" t="n"/>
      <c r="AE1" s="107" t="n"/>
      <c r="AF1" s="107" t="n"/>
      <c r="AG1" s="108" t="n"/>
    </row>
    <row r="2" ht="21.75" customHeight="1" s="105">
      <c r="A2" s="109" t="inlineStr">
        <is>
          <t>🏢  COMPANY INTEL</t>
        </is>
      </c>
      <c r="B2" s="107" t="n"/>
      <c r="C2" s="107" t="n"/>
      <c r="D2" s="107" t="n"/>
      <c r="E2" s="107" t="n"/>
      <c r="F2" s="107" t="n"/>
      <c r="G2" s="107" t="n"/>
      <c r="H2" s="108" t="n"/>
      <c r="I2" s="6" t="inlineStr">
        <is>
          <t>📞  CALL INTELLIGENCE</t>
        </is>
      </c>
      <c r="J2" s="107" t="n"/>
      <c r="K2" s="107" t="n"/>
      <c r="L2" s="107" t="n"/>
      <c r="M2" s="107" t="n"/>
      <c r="N2" s="108" t="n"/>
      <c r="O2" s="6" t="n"/>
      <c r="P2" s="6" t="n"/>
      <c r="Q2" s="110" t="inlineStr">
        <is>
          <t>🔥  PAIN MATRIX</t>
        </is>
      </c>
      <c r="R2" s="107" t="n"/>
      <c r="S2" s="107" t="n"/>
      <c r="T2" s="107" t="n"/>
      <c r="U2" s="107" t="n"/>
      <c r="V2" s="108" t="n"/>
      <c r="W2" s="111" t="inlineStr">
        <is>
          <t>🎯  CONVERSION</t>
        </is>
      </c>
      <c r="X2" s="107" t="n"/>
      <c r="Y2" s="107" t="n"/>
      <c r="Z2" s="108" t="n"/>
      <c r="AA2" s="112" t="inlineStr">
        <is>
          <t>🤖  AI FIT ENGINE</t>
        </is>
      </c>
      <c r="AB2" s="107" t="n"/>
      <c r="AC2" s="108" t="n"/>
      <c r="AD2" s="113" t="inlineStr">
        <is>
          <t>📅  FOLLOW-UP SYSTEM</t>
        </is>
      </c>
      <c r="AE2" s="107" t="n"/>
      <c r="AF2" s="107" t="n"/>
      <c r="AG2" s="108" t="n"/>
    </row>
    <row r="3" ht="31.5" customHeight="1" s="105">
      <c r="A3" s="12" t="inlineStr">
        <is>
          <t>Company Name</t>
        </is>
      </c>
      <c r="B3" s="12" t="inlineStr">
        <is>
          <t>Phone</t>
        </is>
      </c>
      <c r="C3" s="12" t="inlineStr">
        <is>
          <t>City</t>
        </is>
      </c>
      <c r="D3" s="12" t="inlineStr">
        <is>
          <t>Website</t>
        </is>
      </c>
      <c r="E3" s="12" t="inlineStr">
        <is>
          <t>Owners Name</t>
        </is>
      </c>
      <c r="F3" s="12" t="inlineStr">
        <is>
          <t>Owners Email</t>
        </is>
      </c>
      <c r="G3" s="12" t="inlineStr">
        <is>
          <t>Role</t>
        </is>
      </c>
      <c r="H3" s="12" t="inlineStr">
        <is>
          <t># Trucks</t>
        </is>
      </c>
      <c r="I3" s="12" t="inlineStr">
        <is>
          <t>Answer Status</t>
        </is>
      </c>
      <c r="J3" s="12" t="inlineStr">
        <is>
          <t>Person Reached</t>
        </is>
      </c>
      <c r="K3" s="12" t="inlineStr">
        <is>
          <t>Got Email?</t>
        </is>
      </c>
      <c r="L3" s="12" t="inlineStr">
        <is>
          <t>Opening Reaction</t>
        </is>
      </c>
      <c r="M3" s="12" t="inlineStr">
        <is>
          <t>Main Pain</t>
        </is>
      </c>
      <c r="N3" s="12" t="inlineStr">
        <is>
          <t>Call Notes</t>
        </is>
      </c>
      <c r="O3" s="12" t="inlineStr">
        <is>
          <t>Call Recording Link</t>
        </is>
      </c>
      <c r="P3" s="12" t="inlineStr">
        <is>
          <t>Call Transcription Link</t>
        </is>
      </c>
      <c r="Q3" s="12" t="inlineStr">
        <is>
          <t>Recruiting Pain</t>
        </is>
      </c>
      <c r="R3" s="12" t="inlineStr">
        <is>
          <t>Retention Pain</t>
        </is>
      </c>
      <c r="S3" s="12" t="inlineStr">
        <is>
          <t>Ops/System Pain</t>
        </is>
      </c>
      <c r="T3" s="12" t="inlineStr">
        <is>
          <t>Revenue Pain</t>
        </is>
      </c>
      <c r="U3" s="12" t="inlineStr">
        <is>
          <t>Pain Detail</t>
        </is>
      </c>
      <c r="V3" s="12" t="inlineStr">
        <is>
          <t>Pain Score</t>
        </is>
      </c>
      <c r="W3" s="12" t="inlineStr">
        <is>
          <t>Open to Meeting?</t>
        </is>
      </c>
      <c r="X3" s="12" t="inlineStr">
        <is>
          <t>Meeting Type</t>
        </is>
      </c>
      <c r="Y3" s="12" t="inlineStr">
        <is>
          <t>Objection</t>
        </is>
      </c>
      <c r="Z3" s="12" t="inlineStr">
        <is>
          <t>Follow-Up Action</t>
        </is>
      </c>
      <c r="AA3" s="12" t="inlineStr">
        <is>
          <t>Fit Score</t>
        </is>
      </c>
      <c r="AB3" s="12" t="inlineStr">
        <is>
          <t>Fit Tier</t>
        </is>
      </c>
      <c r="AC3" s="12" t="inlineStr">
        <is>
          <t>Priority</t>
        </is>
      </c>
      <c r="AD3" s="12" t="inlineStr">
        <is>
          <t>Last Call</t>
        </is>
      </c>
      <c r="AE3" s="12" t="inlineStr">
        <is>
          <t>Callback Date</t>
        </is>
      </c>
      <c r="AF3" s="12" t="inlineStr">
        <is>
          <t>Days Until Call</t>
        </is>
      </c>
      <c r="AG3" s="12" t="inlineStr">
        <is>
          <t>Caller</t>
        </is>
      </c>
    </row>
    <row r="4" ht="13.5" customHeight="1" s="105">
      <c r="A4" s="13" t="n"/>
      <c r="B4" s="14" t="n"/>
      <c r="C4" s="15" t="n"/>
      <c r="D4" s="16"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row>
    <row r="5" ht="19.5" customHeight="1" s="105">
      <c r="A5" s="44" t="inlineStr">
        <is>
          <t>Crank it HVAC</t>
        </is>
      </c>
      <c r="B5" s="23" t="inlineStr">
        <is>
          <t>(801) 815-3222</t>
        </is>
      </c>
      <c r="C5" s="23" t="inlineStr">
        <is>
          <t>West Jordan</t>
        </is>
      </c>
      <c r="D5" s="20" t="inlineStr">
        <is>
          <t>Click Here</t>
        </is>
      </c>
      <c r="E5" s="44" t="inlineStr">
        <is>
          <t>NA</t>
        </is>
      </c>
      <c r="F5" s="44" t="inlineStr">
        <is>
          <t>NA</t>
        </is>
      </c>
      <c r="G5" s="44" t="inlineStr">
        <is>
          <t>Owner</t>
        </is>
      </c>
      <c r="H5" s="23" t="inlineStr">
        <is>
          <t>NA</t>
        </is>
      </c>
      <c r="I5" s="44" t="inlineStr">
        <is>
          <t>Answered</t>
        </is>
      </c>
      <c r="J5" s="44" t="inlineStr">
        <is>
          <t>Owner</t>
        </is>
      </c>
      <c r="K5" s="23" t="inlineStr">
        <is>
          <t>No</t>
        </is>
      </c>
      <c r="L5" s="44" t="inlineStr">
        <is>
          <t>Not Interested</t>
        </is>
      </c>
      <c r="M5" s="44" t="inlineStr">
        <is>
          <t>Revenue/Cash Flow</t>
        </is>
      </c>
      <c r="N5" s="44" t="inlineStr">
        <is>
          <t>Residental Remodels</t>
        </is>
      </c>
      <c r="O5" s="44" t="inlineStr">
        <is>
          <t>NA</t>
        </is>
      </c>
      <c r="P5" s="44" t="n"/>
      <c r="Q5" s="44" t="inlineStr">
        <is>
          <t>Minor</t>
        </is>
      </c>
      <c r="R5" s="44" t="inlineStr">
        <is>
          <t>Minor</t>
        </is>
      </c>
      <c r="S5" s="44" t="inlineStr">
        <is>
          <t>None</t>
        </is>
      </c>
      <c r="T5" s="44" t="inlineStr">
        <is>
          <t>Minor</t>
        </is>
      </c>
      <c r="U5" s="44" t="inlineStr">
        <is>
          <t xml:space="preserve">They do remodels no retro-fits </t>
        </is>
      </c>
      <c r="V5" s="21">
        <f>IFERROR(ROUND((IF(Q5="Severe",4,IF(Q5="Moderate",3,IF(Q5="Minor",2,0)))+IF(R5="Severe",4,IF(R5="Moderate",3,IF(R5="Minor",2,0)))+IF(S5="Severe",4,IF(S5="Moderate",3,IF(S5="Minor",2,0)))+IF(T5="Severe",4,IF(T5="Moderate",3,IF(T5="Minor",2,0))))/16*100,0),"")</f>
        <v/>
      </c>
      <c r="W5" s="23" t="inlineStr">
        <is>
          <t>No</t>
        </is>
      </c>
      <c r="X5" s="44" t="inlineStr">
        <is>
          <t>None Yet</t>
        </is>
      </c>
      <c r="Y5" s="44" t="inlineStr">
        <is>
          <t>They Dont Think They Need it</t>
        </is>
      </c>
      <c r="Z5" s="44" t="inlineStr">
        <is>
          <t>Send Text</t>
        </is>
      </c>
      <c r="AA5" s="22">
        <f>IFERROR(ROUND(IF(H5&gt;=10,30,IF(H5&gt;=5,20,IF(H5&gt;=2,10,0)))+IF(K5="Yes",20,IF(K5="Unsure",10,0))+IF(W5="Yes",30,IF(W5="Later",15,0))+IFERROR(V5/100*20,0)+IF(L5="Interested",15,IF(L5="Open But Busy",10,IF(L5="Neutral",5,0))),0),"")</f>
        <v/>
      </c>
      <c r="AB5" s="23">
        <f>IFERROR(IF(AA5&gt;=80,"🔥 HOT",IF(AA5&gt;=60,"✅ STRONG",IF(AA5&gt;=40,"⚡ WARM",IF(AA5&gt;=20,"📋 NURTURE",IF(AA5&gt;0,"❌ COLD",""))))),"")</f>
        <v/>
      </c>
      <c r="AC5" s="23">
        <f>IFERROR(IF(AND(AA5&gt;=60,OR(W5="Yes",W5="Later")),"🚨 URGENT",IF(AND(AA5&gt;=40,I5="Call Back"),"📞 CALL BACK",IF(I5="Booked Meeting","📅 BOOKED",IF(I5="Not Interested","🚫 DEAD","⏳ WORKING")))),"")</f>
        <v/>
      </c>
      <c r="AD5" s="44" t="inlineStr">
        <is>
          <t>04/15/26@4:38pm</t>
        </is>
      </c>
      <c r="AE5" s="37" t="n">
        <v>46133</v>
      </c>
      <c r="AF5" s="25">
        <f>IFERROR(IF(AE5="","",AE5-TODAY()),"")</f>
        <v/>
      </c>
      <c r="AG5" s="44" t="inlineStr">
        <is>
          <t>Kristopher</t>
        </is>
      </c>
    </row>
    <row r="6" ht="19.5" customHeight="1" s="105">
      <c r="A6" s="40" t="inlineStr">
        <is>
          <t>BNZ Heating &amp; Air</t>
        </is>
      </c>
      <c r="B6" s="31" t="inlineStr">
        <is>
          <t>(385)831-0553</t>
        </is>
      </c>
      <c r="C6" s="31" t="inlineStr">
        <is>
          <t>Herriman</t>
        </is>
      </c>
      <c r="D6" s="28" t="inlineStr">
        <is>
          <t>Click Here</t>
        </is>
      </c>
      <c r="E6" s="40" t="inlineStr">
        <is>
          <t>NA</t>
        </is>
      </c>
      <c r="F6" s="40" t="inlineStr">
        <is>
          <t>NA</t>
        </is>
      </c>
      <c r="G6" s="40" t="inlineStr">
        <is>
          <t>CSR?</t>
        </is>
      </c>
      <c r="H6" s="31" t="inlineStr">
        <is>
          <t>NA</t>
        </is>
      </c>
      <c r="I6" s="40" t="inlineStr">
        <is>
          <t>Answered</t>
        </is>
      </c>
      <c r="J6" s="40" t="inlineStr">
        <is>
          <t>NA</t>
        </is>
      </c>
      <c r="K6" s="31" t="inlineStr">
        <is>
          <t>No</t>
        </is>
      </c>
      <c r="L6" s="40" t="inlineStr">
        <is>
          <t>Not Interested</t>
        </is>
      </c>
      <c r="M6" s="40" t="inlineStr">
        <is>
          <t>No Clear Pain Point</t>
        </is>
      </c>
      <c r="N6" s="40" t="inlineStr">
        <is>
          <t xml:space="preserve">Said they have a system that they love but didnt know the name </t>
        </is>
      </c>
      <c r="O6" s="40" t="inlineStr">
        <is>
          <t>NA</t>
        </is>
      </c>
      <c r="P6" s="40" t="n"/>
      <c r="Q6" s="40" t="inlineStr">
        <is>
          <t>Moderate</t>
        </is>
      </c>
      <c r="R6" s="40" t="inlineStr">
        <is>
          <t>Minor</t>
        </is>
      </c>
      <c r="S6" s="40" t="inlineStr">
        <is>
          <t>Minor</t>
        </is>
      </c>
      <c r="T6" s="40" t="inlineStr">
        <is>
          <t>Severe</t>
        </is>
      </c>
      <c r="U6" s="40" t="inlineStr">
        <is>
          <t>Verry Rude Not Open to a conversation</t>
        </is>
      </c>
      <c r="V6" s="29">
        <f>IFERROR(ROUND((IF(Q6="Severe",4,IF(Q6="Moderate",3,IF(Q6="Minor",2,0)))+IF(R6="Severe",4,IF(R6="Moderate",3,IF(R6="Minor",2,0)))+IF(S6="Severe",4,IF(S6="Moderate",3,IF(S6="Minor",2,0)))+IF(T6="Severe",4,IF(T6="Moderate",3,IF(T6="Minor",2,0))))/16*100,0),"")</f>
        <v/>
      </c>
      <c r="W6" s="31" t="inlineStr">
        <is>
          <t>No</t>
        </is>
      </c>
      <c r="X6" s="40" t="inlineStr">
        <is>
          <t>None Yet</t>
        </is>
      </c>
      <c r="Y6" s="40" t="inlineStr">
        <is>
          <t xml:space="preserve">Have a system they Love </t>
        </is>
      </c>
      <c r="Z6" s="40" t="inlineStr">
        <is>
          <t>Call Back</t>
        </is>
      </c>
      <c r="AA6" s="30">
        <f>IFERROR(ROUND(IF(H6&gt;=10,30,IF(H6&gt;=5,20,IF(H6&gt;=2,10,0)))+IF(K6="Yes",20,IF(K6="Unsure",10,0))+IF(W6="Yes",30,IF(W6="Later",15,0))+IFERROR(V6/100*20,0)+IF(L6="Interested",15,IF(L6="Open But Busy",10,IF(L6="Neutral",5,0))),0),"")</f>
        <v/>
      </c>
      <c r="AB6" s="31">
        <f>IFERROR(IF(AA6&gt;=80,"🔥 HOT",IF(AA6&gt;=60,"✅ STRONG",IF(AA6&gt;=40,"⚡ WARM",IF(AA6&gt;=20,"📋 NURTURE",IF(AA6&gt;0,"❌ COLD",""))))),"")</f>
        <v/>
      </c>
      <c r="AC6" s="31">
        <f>IFERROR(IF(AND(AA6&gt;=60,OR(W6="Yes",W6="Later")),"🚨 URGENT",IF(AND(AA6&gt;=40,I6="Call Back"),"📞 CALL BACK",IF(I6="Booked Meeting","📅 BOOKED",IF(I6="Not Interested","🚫 DEAD","⏳ WORKING")))),"")</f>
        <v/>
      </c>
      <c r="AD6" s="40" t="inlineStr">
        <is>
          <t>04/15/26@4:46pm</t>
        </is>
      </c>
      <c r="AE6" s="38" t="n">
        <v>46128</v>
      </c>
      <c r="AF6" s="33">
        <f>IFERROR(IF(AE6="","",AE6-TODAY()),"")</f>
        <v/>
      </c>
      <c r="AG6" s="40" t="inlineStr">
        <is>
          <t>Kristopher</t>
        </is>
      </c>
    </row>
    <row r="7" ht="19.5" customHeight="1" s="105">
      <c r="A7" s="44" t="inlineStr">
        <is>
          <t>Hansen HVAC Heating &amp; Cooling</t>
        </is>
      </c>
      <c r="B7" s="23" t="inlineStr">
        <is>
          <t>(801)280-8812</t>
        </is>
      </c>
      <c r="C7" s="23" t="inlineStr">
        <is>
          <t>West Jordan</t>
        </is>
      </c>
      <c r="D7" s="20" t="inlineStr">
        <is>
          <t>Click Here</t>
        </is>
      </c>
      <c r="E7" s="44" t="inlineStr">
        <is>
          <t>3 Dudes &amp; Chick</t>
        </is>
      </c>
      <c r="F7" s="34" t="inlineStr">
        <is>
          <t>info@hansenhvacservices.com</t>
        </is>
      </c>
      <c r="G7" s="44" t="inlineStr">
        <is>
          <t>Owners/Son</t>
        </is>
      </c>
      <c r="H7" s="23" t="inlineStr">
        <is>
          <t>10+</t>
        </is>
      </c>
      <c r="I7" s="44" t="inlineStr">
        <is>
          <t>Answered</t>
        </is>
      </c>
      <c r="J7" s="44" t="inlineStr">
        <is>
          <t>Riley/Tech</t>
        </is>
      </c>
      <c r="K7" s="23" t="inlineStr">
        <is>
          <t>Yes</t>
        </is>
      </c>
      <c r="L7" s="44" t="inlineStr">
        <is>
          <t>Hostile</t>
        </is>
      </c>
      <c r="M7" s="44" t="inlineStr">
        <is>
          <t>Training</t>
        </is>
      </c>
      <c r="N7" s="44" t="inlineStr">
        <is>
          <t xml:space="preserve"> Riley said that the top tax do not have a problem selling, it's always the younger guys, always telling the homeowners when they take emergency calls on weekends, that it's going to be more money, it's more expensive to have me come out, so the newer guys have a hard time selling.</t>
        </is>
      </c>
      <c r="O7" s="44" t="inlineStr">
        <is>
          <t>NA</t>
        </is>
      </c>
      <c r="P7" s="44" t="n"/>
      <c r="Q7" s="44" t="inlineStr">
        <is>
          <t>Moderate</t>
        </is>
      </c>
      <c r="R7" s="44" t="inlineStr">
        <is>
          <t>Moderate</t>
        </is>
      </c>
      <c r="S7" s="44" t="inlineStr">
        <is>
          <t>Moderate</t>
        </is>
      </c>
      <c r="T7" s="44" t="inlineStr">
        <is>
          <t>Moderate</t>
        </is>
      </c>
      <c r="U7" s="44" t="inlineStr">
        <is>
          <t xml:space="preserve">The new guys are having a hard time selling, or declining emergency calls. </t>
        </is>
      </c>
      <c r="V7" s="21">
        <f>IFERROR(ROUND((IF(Q7="Severe",4,IF(Q7="Moderate",3,IF(Q7="Minor",2,0)))+IF(R7="Severe",4,IF(R7="Moderate",3,IF(R7="Minor",2,0)))+IF(S7="Severe",4,IF(S7="Moderate",3,IF(S7="Minor",2,0)))+IF(T7="Severe",4,IF(T7="Moderate",3,IF(T7="Minor",2,0))))/16*100,0),"")</f>
        <v/>
      </c>
      <c r="W7" s="23" t="inlineStr">
        <is>
          <t>Yes</t>
        </is>
      </c>
      <c r="X7" s="44" t="inlineStr">
        <is>
          <t>Phone</t>
        </is>
      </c>
      <c r="Y7" s="44" t="inlineStr">
        <is>
          <t>None they tink it sounds amazing</t>
        </is>
      </c>
      <c r="Z7" s="44" t="inlineStr">
        <is>
          <t>Call Back</t>
        </is>
      </c>
      <c r="AA7" s="22">
        <f>IFERROR(ROUND(IF(H7&gt;=10,30,IF(H7&gt;=5,20,IF(H7&gt;=2,10,0)))+IF(K7="Yes",20,IF(K7="Unsure",10,0))+IF(W7="Yes",30,IF(W7="Later",15,0))+IFERROR(V7/100*20,0)+IF(L7="Interested",15,IF(L7="Open But Busy",10,IF(L7="Neutral",5,0))),0),"")</f>
        <v/>
      </c>
      <c r="AB7" s="23">
        <f>IFERROR(IF(AA7&gt;=80,"🔥 HOT",IF(AA7&gt;=60,"✅ STRONG",IF(AA7&gt;=40,"⚡ WARM",IF(AA7&gt;=20,"📋 NURTURE",IF(AA7&gt;0,"❌ COLD",""))))),"")</f>
        <v/>
      </c>
      <c r="AC7" s="23">
        <f>IFERROR(IF(AND(AA7&gt;=60,OR(W7="Yes",W7="Later")),"🚨 URGENT",IF(AND(AA7&gt;=40,I7="Call Back"),"📞 CALL BACK",IF(I7="Booked Meeting","📅 BOOKED",IF(I7="Not Interested","🚫 DEAD","⏳ WORKING")))),"")</f>
        <v/>
      </c>
      <c r="AD7" s="44" t="inlineStr">
        <is>
          <t>4/15/2026@4:54pm</t>
        </is>
      </c>
      <c r="AE7" s="37" t="n">
        <v>46128</v>
      </c>
      <c r="AF7" s="25">
        <f>IFERROR(IF(AE7="","",AE7-TODAY()),"")</f>
        <v/>
      </c>
      <c r="AG7" s="44" t="inlineStr">
        <is>
          <t>Kristopher</t>
        </is>
      </c>
    </row>
    <row r="8" ht="19.5" customHeight="1" s="105">
      <c r="A8" s="40" t="inlineStr">
        <is>
          <t>Valley Plumbing Heating &amp; Cooling</t>
        </is>
      </c>
      <c r="B8" s="31" t="inlineStr">
        <is>
          <t>(385)276-4284</t>
        </is>
      </c>
      <c r="C8" s="31" t="inlineStr">
        <is>
          <t>West Jordan</t>
        </is>
      </c>
      <c r="D8" s="28" t="inlineStr">
        <is>
          <t>Click Here</t>
        </is>
      </c>
      <c r="E8" s="40" t="inlineStr">
        <is>
          <t>NA</t>
        </is>
      </c>
      <c r="F8" s="40" t="inlineStr">
        <is>
          <t>NA</t>
        </is>
      </c>
      <c r="G8" s="40" t="inlineStr">
        <is>
          <t>NA</t>
        </is>
      </c>
      <c r="H8" s="31" t="inlineStr">
        <is>
          <t>NA</t>
        </is>
      </c>
      <c r="I8" s="40" t="inlineStr">
        <is>
          <t>Left Voicemail</t>
        </is>
      </c>
      <c r="J8" s="40" t="inlineStr">
        <is>
          <t>NA</t>
        </is>
      </c>
      <c r="K8" s="31" t="inlineStr">
        <is>
          <t>No</t>
        </is>
      </c>
      <c r="L8" s="40" t="inlineStr">
        <is>
          <t>NA</t>
        </is>
      </c>
      <c r="M8" s="40" t="inlineStr">
        <is>
          <t>Scheduling</t>
        </is>
      </c>
      <c r="N8" s="40" t="inlineStr">
        <is>
          <t>No Answer Call Back Scheduled For 04/16/2026</t>
        </is>
      </c>
      <c r="O8" s="40" t="inlineStr">
        <is>
          <t>NA</t>
        </is>
      </c>
      <c r="P8" s="40" t="n"/>
      <c r="Q8" s="40" t="inlineStr">
        <is>
          <t>NA</t>
        </is>
      </c>
      <c r="R8" s="40" t="inlineStr">
        <is>
          <t>NA</t>
        </is>
      </c>
      <c r="S8" s="40" t="inlineStr">
        <is>
          <t>Severe</t>
        </is>
      </c>
      <c r="T8" s="40" t="inlineStr">
        <is>
          <t>Severe</t>
        </is>
      </c>
      <c r="U8" s="40" t="inlineStr">
        <is>
          <t>NA</t>
        </is>
      </c>
      <c r="V8" s="29">
        <f>IFERROR(ROUND((IF(Q8="Severe",4,IF(Q8="Moderate",3,IF(Q8="Minor",2,0)))+IF(R8="Severe",4,IF(R8="Moderate",3,IF(R8="Minor",2,0)))+IF(S8="Severe",4,IF(S8="Moderate",3,IF(S8="Minor",2,0)))+IF(T8="Severe",4,IF(T8="Moderate",3,IF(T8="Minor",2,0))))/16*100,0),"")</f>
        <v/>
      </c>
      <c r="W8" s="31" t="inlineStr">
        <is>
          <t>Later</t>
        </is>
      </c>
      <c r="X8" s="40" t="inlineStr">
        <is>
          <t>None Yet</t>
        </is>
      </c>
      <c r="Y8" s="40" t="inlineStr">
        <is>
          <t>NA</t>
        </is>
      </c>
      <c r="Z8" s="40" t="inlineStr">
        <is>
          <t>Call Back</t>
        </is>
      </c>
      <c r="AA8" s="30">
        <f>IFERROR(ROUND(IF(H8&gt;=10,30,IF(H8&gt;=5,20,IF(H8&gt;=2,10,0)))+IF(K8="Yes",20,IF(K8="Unsure",10,0))+IF(W8="Yes",30,IF(W8="Later",15,0))+IFERROR(V8/100*20,0)+IF(L8="Interested",15,IF(L8="Open But Busy",10,IF(L8="Neutral",5,0))),0),"")</f>
        <v/>
      </c>
      <c r="AB8" s="31">
        <f>IFERROR(IF(AA8&gt;=80,"🔥 HOT",IF(AA8&gt;=60,"✅ STRONG",IF(AA8&gt;=40,"⚡ WARM",IF(AA8&gt;=20,"📋 NURTURE",IF(AA8&gt;0,"❌ COLD",""))))),"")</f>
        <v/>
      </c>
      <c r="AC8" s="31">
        <f>IFERROR(IF(AND(AA8&gt;=60,OR(W8="Yes",W8="Later")),"🚨 URGENT",IF(AND(AA8&gt;=40,I8="Call Back"),"📞 CALL BACK",IF(I8="Booked Meeting","📅 BOOKED",IF(I8="Not Interested","🚫 DEAD","⏳ WORKING")))),"")</f>
        <v/>
      </c>
      <c r="AD8" s="40" t="inlineStr">
        <is>
          <t>04/15/2026@5:14pm</t>
        </is>
      </c>
      <c r="AE8" s="38" t="n">
        <v>46128</v>
      </c>
      <c r="AF8" s="33">
        <f>IFERROR(IF(AE8="","",AE8-TODAY()),"")</f>
        <v/>
      </c>
      <c r="AG8" s="40" t="inlineStr">
        <is>
          <t>Kristopher</t>
        </is>
      </c>
    </row>
    <row r="9" ht="15.75" customHeight="1" s="105">
      <c r="A9" s="35" t="inlineStr">
        <is>
          <t>West Jordan HVAC</t>
        </is>
      </c>
      <c r="B9" s="23" t="inlineStr">
        <is>
          <t>(801)843-3202</t>
        </is>
      </c>
      <c r="C9" s="23" t="inlineStr">
        <is>
          <t>West Jordan</t>
        </is>
      </c>
      <c r="D9" s="36" t="inlineStr">
        <is>
          <t>NO WEBSITE</t>
        </is>
      </c>
      <c r="E9" s="44" t="inlineStr">
        <is>
          <t>NA</t>
        </is>
      </c>
      <c r="F9" s="44" t="inlineStr">
        <is>
          <t>NA</t>
        </is>
      </c>
      <c r="G9" s="44" t="inlineStr">
        <is>
          <t>NA</t>
        </is>
      </c>
      <c r="H9" s="23" t="inlineStr">
        <is>
          <t>NA</t>
        </is>
      </c>
      <c r="I9" s="44" t="inlineStr">
        <is>
          <t>No Answer</t>
        </is>
      </c>
      <c r="J9" s="44" t="inlineStr">
        <is>
          <t>NA</t>
        </is>
      </c>
      <c r="K9" s="23" t="inlineStr">
        <is>
          <t>No</t>
        </is>
      </c>
      <c r="L9" s="44" t="inlineStr">
        <is>
          <t>NA</t>
        </is>
      </c>
      <c r="M9" s="44" t="inlineStr">
        <is>
          <t>Scheduling</t>
        </is>
      </c>
      <c r="N9" s="44" t="inlineStr">
        <is>
          <t>No Answer Call Back Scheduled For 04/16/2026</t>
        </is>
      </c>
      <c r="O9" s="44" t="inlineStr">
        <is>
          <t>NA</t>
        </is>
      </c>
      <c r="P9" s="44" t="n"/>
      <c r="Q9" s="44" t="inlineStr">
        <is>
          <t>NA</t>
        </is>
      </c>
      <c r="R9" s="44" t="inlineStr">
        <is>
          <t>NA</t>
        </is>
      </c>
      <c r="S9" s="44" t="inlineStr">
        <is>
          <t>Severe</t>
        </is>
      </c>
      <c r="T9" s="44" t="inlineStr">
        <is>
          <t>Severe</t>
        </is>
      </c>
      <c r="U9" s="44" t="inlineStr">
        <is>
          <t>NA</t>
        </is>
      </c>
      <c r="V9" s="21">
        <f>IFERROR(ROUND((IF(Q9="Severe",4,IF(Q9="Moderate",3,IF(Q9="Minor",2,0)))+IF(R9="Severe",4,IF(R9="Moderate",3,IF(R9="Minor",2,0)))+IF(S9="Severe",4,IF(S9="Moderate",3,IF(S9="Minor",2,0)))+IF(T9="Severe",4,IF(T9="Moderate",3,IF(T9="Minor",2,0))))/16*100,0),"")</f>
        <v/>
      </c>
      <c r="W9" s="23" t="inlineStr">
        <is>
          <t>Later</t>
        </is>
      </c>
      <c r="X9" s="44" t="inlineStr">
        <is>
          <t>None Yet</t>
        </is>
      </c>
      <c r="Y9" s="44" t="inlineStr">
        <is>
          <t>NA</t>
        </is>
      </c>
      <c r="Z9" s="44" t="inlineStr">
        <is>
          <t>Call Back</t>
        </is>
      </c>
      <c r="AA9" s="22">
        <f>IFERROR(ROUND(IF(H9&gt;=10,30,IF(H9&gt;=5,20,IF(H9&gt;=2,10,0)))+IF(K9="Yes",20,IF(K9="Unsure",10,0))+IF(W9="Yes",30,IF(W9="Later",15,0))+IFERROR(V9/100*20,0)+IF(L9="Interested",15,IF(L9="Open But Busy",10,IF(L9="Neutral",5,0))),0),"")</f>
        <v/>
      </c>
      <c r="AB9" s="23">
        <f>IFERROR(IF(AA9&gt;=80,"🔥 HOT",IF(AA9&gt;=60,"✅ STRONG",IF(AA9&gt;=40,"⚡ WARM",IF(AA9&gt;=20,"📋 NURTURE",IF(AA9&gt;0,"❌ COLD",""))))),"")</f>
        <v/>
      </c>
      <c r="AC9" s="23">
        <f>IFERROR(IF(AND(AA9&gt;=60,OR(W9="Yes",W9="Later")),"🚨 URGENT",IF(AND(AA9&gt;=40,I9="Call Back"),"📞 CALL BACK",IF(I9="Booked Meeting","📅 BOOKED",IF(I9="Not Interested","🚫 DEAD","⏳ WORKING")))),"")</f>
        <v/>
      </c>
      <c r="AD9" s="44" t="inlineStr">
        <is>
          <t>04/15/2026@5:15pm</t>
        </is>
      </c>
      <c r="AE9" s="37" t="n">
        <v>46128</v>
      </c>
      <c r="AF9" s="25">
        <f>IFERROR(IF(AE9="","",AE9-TODAY()),"")</f>
        <v/>
      </c>
      <c r="AG9" s="40" t="inlineStr">
        <is>
          <t>Kristopher</t>
        </is>
      </c>
    </row>
    <row r="10" ht="19.5" customHeight="1" s="105">
      <c r="A10" s="40" t="inlineStr">
        <is>
          <t>Titan Heating &amp; Air Conditioning</t>
        </is>
      </c>
      <c r="B10" s="31" t="inlineStr">
        <is>
          <t>(801)972-0905</t>
        </is>
      </c>
      <c r="C10" s="31" t="inlineStr">
        <is>
          <t>West Jordan</t>
        </is>
      </c>
      <c r="D10" s="28" t="inlineStr">
        <is>
          <t>Click Here</t>
        </is>
      </c>
      <c r="E10" s="40" t="inlineStr">
        <is>
          <t>NA</t>
        </is>
      </c>
      <c r="F10" s="40" t="inlineStr">
        <is>
          <t>NA</t>
        </is>
      </c>
      <c r="G10" s="40" t="inlineStr">
        <is>
          <t>NA</t>
        </is>
      </c>
      <c r="H10" s="31" t="inlineStr">
        <is>
          <t>NA</t>
        </is>
      </c>
      <c r="I10" s="40" t="inlineStr">
        <is>
          <t>Left Voicemail</t>
        </is>
      </c>
      <c r="J10" s="40" t="inlineStr">
        <is>
          <t>NA</t>
        </is>
      </c>
      <c r="K10" s="31" t="inlineStr">
        <is>
          <t>No</t>
        </is>
      </c>
      <c r="L10" s="40" t="inlineStr">
        <is>
          <t>NA</t>
        </is>
      </c>
      <c r="M10" s="40" t="inlineStr">
        <is>
          <t>Scheduling</t>
        </is>
      </c>
      <c r="N10" s="40" t="inlineStr">
        <is>
          <t>No Answer Call Back Scheduled For 04/16/2026</t>
        </is>
      </c>
      <c r="O10" s="40" t="inlineStr">
        <is>
          <t>NA</t>
        </is>
      </c>
      <c r="P10" s="40" t="n"/>
      <c r="Q10" s="40" t="inlineStr">
        <is>
          <t>NA</t>
        </is>
      </c>
      <c r="R10" s="40" t="inlineStr">
        <is>
          <t>NA</t>
        </is>
      </c>
      <c r="S10" s="40" t="inlineStr">
        <is>
          <t>Severe</t>
        </is>
      </c>
      <c r="T10" s="40" t="inlineStr">
        <is>
          <t>Severe</t>
        </is>
      </c>
      <c r="U10" s="40" t="inlineStr">
        <is>
          <t>NA</t>
        </is>
      </c>
      <c r="V10" s="29">
        <f>IFERROR(ROUND((IF(Q10="Severe",4,IF(Q10="Moderate",3,IF(Q10="Minor",2,0)))+IF(R10="Severe",4,IF(R10="Moderate",3,IF(R10="Minor",2,0)))+IF(S10="Severe",4,IF(S10="Moderate",3,IF(S10="Minor",2,0)))+IF(T10="Severe",4,IF(T10="Moderate",3,IF(T10="Minor",2,0))))/16*100,0),"")</f>
        <v/>
      </c>
      <c r="W10" s="31" t="inlineStr">
        <is>
          <t>Later</t>
        </is>
      </c>
      <c r="X10" s="40" t="inlineStr">
        <is>
          <t>None Yet</t>
        </is>
      </c>
      <c r="Y10" s="40" t="inlineStr">
        <is>
          <t>NA</t>
        </is>
      </c>
      <c r="Z10" s="40" t="inlineStr">
        <is>
          <t>Call Back</t>
        </is>
      </c>
      <c r="AA10" s="30">
        <f>IFERROR(ROUND(IF(H10&gt;=10,30,IF(H10&gt;=5,20,IF(H10&gt;=2,10,0)))+IF(K10="Yes",20,IF(K10="Unsure",10,0))+IF(W10="Yes",30,IF(W10="Later",15,0))+IFERROR(V10/100*20,0)+IF(L10="Interested",15,IF(L10="Open But Busy",10,IF(L10="Neutral",5,0))),0),"")</f>
        <v/>
      </c>
      <c r="AB10" s="31">
        <f>IFERROR(IF(AA10&gt;=80,"🔥 HOT",IF(AA10&gt;=60,"✅ STRONG",IF(AA10&gt;=40,"⚡ WARM",IF(AA10&gt;=20,"📋 NURTURE",IF(AA10&gt;0,"❌ COLD",""))))),"")</f>
        <v/>
      </c>
      <c r="AC10" s="31">
        <f>IFERROR(IF(AND(AA10&gt;=60,OR(W10="Yes",W10="Later")),"🚨 URGENT",IF(AND(AA10&gt;=40,I10="Call Back"),"📞 CALL BACK",IF(I10="Booked Meeting","📅 BOOKED",IF(I10="Not Interested","🚫 DEAD","⏳ WORKING")))),"")</f>
        <v/>
      </c>
      <c r="AD10" s="40" t="inlineStr">
        <is>
          <t>04/15/2026@5:16pm</t>
        </is>
      </c>
      <c r="AE10" s="38" t="n">
        <v>46128</v>
      </c>
      <c r="AF10" s="33">
        <f>IFERROR(IF(AE10="","",AE10-TODAY()),"")</f>
        <v/>
      </c>
      <c r="AG10" s="40" t="inlineStr">
        <is>
          <t>Kristopher</t>
        </is>
      </c>
    </row>
    <row r="11" ht="19.5" customHeight="1" s="105">
      <c r="A11" s="44" t="inlineStr">
        <is>
          <t>All Utah Plumbing Heating &amp; Air</t>
        </is>
      </c>
      <c r="B11" s="23" t="inlineStr">
        <is>
          <t>(801)652-4755</t>
        </is>
      </c>
      <c r="C11" s="23" t="inlineStr">
        <is>
          <t>West Jordan</t>
        </is>
      </c>
      <c r="D11" s="20" t="inlineStr">
        <is>
          <t>Click Here</t>
        </is>
      </c>
      <c r="E11" s="44" t="inlineStr">
        <is>
          <t>NA</t>
        </is>
      </c>
      <c r="F11" s="44" t="inlineStr">
        <is>
          <t>NA</t>
        </is>
      </c>
      <c r="G11" s="44" t="inlineStr">
        <is>
          <t>CSR</t>
        </is>
      </c>
      <c r="H11" s="23" t="inlineStr">
        <is>
          <t>NA</t>
        </is>
      </c>
      <c r="I11" s="44" t="inlineStr">
        <is>
          <t>Answered</t>
        </is>
      </c>
      <c r="J11" s="44" t="inlineStr">
        <is>
          <t>Wayne/CSR</t>
        </is>
      </c>
      <c r="K11" s="23" t="inlineStr">
        <is>
          <t>No</t>
        </is>
      </c>
      <c r="L11" s="44" t="inlineStr">
        <is>
          <t>Neutral</t>
        </is>
      </c>
      <c r="M11" s="44" t="inlineStr">
        <is>
          <t>No Clear Pain Point</t>
        </is>
      </c>
      <c r="N11" s="44" t="inlineStr">
        <is>
          <t>The already have an AI Named Broccoli will call in 1 month from now to see how they are doing</t>
        </is>
      </c>
      <c r="O11" s="44" t="inlineStr">
        <is>
          <t>NA</t>
        </is>
      </c>
      <c r="P11" s="44" t="n"/>
      <c r="Q11" s="44" t="inlineStr">
        <is>
          <t>Minor</t>
        </is>
      </c>
      <c r="R11" s="44" t="inlineStr">
        <is>
          <t>Minor</t>
        </is>
      </c>
      <c r="S11" s="44" t="inlineStr">
        <is>
          <t>Minor</t>
        </is>
      </c>
      <c r="T11" s="44" t="inlineStr">
        <is>
          <t>Severe</t>
        </is>
      </c>
      <c r="U11" s="44" t="inlineStr">
        <is>
          <t>Testing the AI RN</t>
        </is>
      </c>
      <c r="V11" s="21">
        <f>IFERROR(ROUND((IF(Q11="Severe",4,IF(Q11="Moderate",3,IF(Q11="Minor",2,0)))+IF(R11="Severe",4,IF(R11="Moderate",3,IF(R11="Minor",2,0)))+IF(S11="Severe",4,IF(S11="Moderate",3,IF(S11="Minor",2,0)))+IF(T11="Severe",4,IF(T11="Moderate",3,IF(T11="Minor",2,0))))/16*100,0),"")</f>
        <v/>
      </c>
      <c r="W11" s="23" t="inlineStr">
        <is>
          <t>Later</t>
        </is>
      </c>
      <c r="X11" s="44" t="inlineStr">
        <is>
          <t>Phone</t>
        </is>
      </c>
      <c r="Y11" s="44" t="inlineStr">
        <is>
          <t>Just testing what they have and if they dont like it they will tell me in 1 Month</t>
        </is>
      </c>
      <c r="Z11" s="44" t="inlineStr">
        <is>
          <t>Call Back</t>
        </is>
      </c>
      <c r="AA11" s="22">
        <f>IFERROR(ROUND(IF(H11&gt;=10,30,IF(H11&gt;=5,20,IF(H11&gt;=2,10,0)))+IF(K11="Yes",20,IF(K11="Unsure",10,0))+IF(W11="Yes",30,IF(W11="Later",15,0))+IFERROR(V11/100*20,0)+IF(L11="Interested",15,IF(L11="Open But Busy",10,IF(L11="Neutral",5,0))),0),"")</f>
        <v/>
      </c>
      <c r="AB11" s="23">
        <f>IFERROR(IF(AA11&gt;=80,"🔥 HOT",IF(AA11&gt;=60,"✅ STRONG",IF(AA11&gt;=40,"⚡ WARM",IF(AA11&gt;=20,"📋 NURTURE",IF(AA11&gt;0,"❌ COLD",""))))),"")</f>
        <v/>
      </c>
      <c r="AC11" s="23">
        <f>IFERROR(IF(AND(AA11&gt;=60,OR(W11="Yes",W11="Later")),"🚨 URGENT",IF(AND(AA11&gt;=40,I11="Call Back"),"📞 CALL BACK",IF(I11="Booked Meeting","📅 BOOKED",IF(I11="Not Interested","🚫 DEAD","⏳ WORKING")))),"")</f>
        <v/>
      </c>
      <c r="AD11" s="44" t="inlineStr">
        <is>
          <t>04/15/2026@5:26pm</t>
        </is>
      </c>
      <c r="AE11" s="37" t="n">
        <v>46158</v>
      </c>
      <c r="AF11" s="25">
        <f>IFERROR(IF(AE11="","",AE11-TODAY()),"")</f>
        <v/>
      </c>
      <c r="AG11" s="40" t="inlineStr">
        <is>
          <t>Kristopher</t>
        </is>
      </c>
    </row>
    <row r="12" ht="19.5" customHeight="1" s="105">
      <c r="A12" s="40" t="inlineStr">
        <is>
          <t>Thomas Brothers Heating &amp; Air Conditioning</t>
        </is>
      </c>
      <c r="B12" s="31" t="inlineStr">
        <is>
          <t>(385)503-3030</t>
        </is>
      </c>
      <c r="C12" s="31" t="inlineStr">
        <is>
          <t>West Jordan</t>
        </is>
      </c>
      <c r="D12" s="28" t="inlineStr">
        <is>
          <t>Click Here</t>
        </is>
      </c>
      <c r="E12" s="40" t="inlineStr">
        <is>
          <t>NA</t>
        </is>
      </c>
      <c r="F12" s="40" t="inlineStr">
        <is>
          <t>NA</t>
        </is>
      </c>
      <c r="G12" s="40" t="inlineStr">
        <is>
          <t>NA</t>
        </is>
      </c>
      <c r="H12" s="31" t="inlineStr">
        <is>
          <t>NA</t>
        </is>
      </c>
      <c r="I12" s="40" t="inlineStr">
        <is>
          <t>Bad Number</t>
        </is>
      </c>
      <c r="J12" s="40" t="inlineStr">
        <is>
          <t>NA</t>
        </is>
      </c>
      <c r="K12" s="31" t="inlineStr">
        <is>
          <t>No</t>
        </is>
      </c>
      <c r="L12" s="40" t="inlineStr">
        <is>
          <t>NA</t>
        </is>
      </c>
      <c r="M12" s="40" t="inlineStr">
        <is>
          <t>Operations/System</t>
        </is>
      </c>
      <c r="N12" s="40" t="inlineStr">
        <is>
          <t>No Answer Call Back Scheduled For 04/17/2026</t>
        </is>
      </c>
      <c r="O12" s="40" t="inlineStr">
        <is>
          <t>NA</t>
        </is>
      </c>
      <c r="P12" s="40" t="n"/>
      <c r="Q12" s="40" t="n"/>
      <c r="R12" s="40" t="inlineStr">
        <is>
          <t>NA</t>
        </is>
      </c>
      <c r="S12" s="40" t="inlineStr">
        <is>
          <t>Severe</t>
        </is>
      </c>
      <c r="T12" s="40" t="inlineStr">
        <is>
          <t>Severe</t>
        </is>
      </c>
      <c r="U12" s="40" t="inlineStr">
        <is>
          <t>NA</t>
        </is>
      </c>
      <c r="V12" s="29">
        <f>IFERROR(ROUND((IF(Q12="Severe",4,IF(Q12="Moderate",3,IF(Q12="Minor",2,0)))+IF(R12="Severe",4,IF(R12="Moderate",3,IF(R12="Minor",2,0)))+IF(S12="Severe",4,IF(S12="Moderate",3,IF(S12="Minor",2,0)))+IF(T12="Severe",4,IF(T12="Moderate",3,IF(T12="Minor",2,0))))/16*100,0),"")</f>
        <v/>
      </c>
      <c r="W12" s="31" t="inlineStr">
        <is>
          <t>Later</t>
        </is>
      </c>
      <c r="X12" s="40" t="inlineStr">
        <is>
          <t>None Yet</t>
        </is>
      </c>
      <c r="Y12" s="40" t="inlineStr">
        <is>
          <t>NA</t>
        </is>
      </c>
      <c r="Z12" s="40" t="inlineStr">
        <is>
          <t>Call Back</t>
        </is>
      </c>
      <c r="AA12" s="30">
        <f>IFERROR(ROUND(IF(H12&gt;=10,30,IF(H12&gt;=5,20,IF(H12&gt;=2,10,0)))+IF(K12="Yes",20,IF(K12="Unsure",10,0))+IF(W12="Yes",30,IF(W12="Later",15,0))+IFERROR(V12/100*20,0)+IF(L12="Interested",15,IF(L12="Open But Busy",10,IF(L12="Neutral",5,0))),0),"")</f>
        <v/>
      </c>
      <c r="AB12" s="31">
        <f>IFERROR(IF(AA12&gt;=80,"🔥 HOT",IF(AA12&gt;=60,"✅ STRONG",IF(AA12&gt;=40,"⚡ WARM",IF(AA12&gt;=20,"📋 NURTURE",IF(AA12&gt;0,"❌ COLD",""))))),"")</f>
        <v/>
      </c>
      <c r="AC12" s="31">
        <f>IFERROR(IF(AND(AA12&gt;=60,OR(W12="Yes",W12="Later")),"🚨 URGENT",IF(AND(AA12&gt;=40,I12="Call Back"),"📞 CALL BACK",IF(I12="Booked Meeting","📅 BOOKED",IF(I12="Not Interested","🚫 DEAD","⏳ WORKING")))),"")</f>
        <v/>
      </c>
      <c r="AD12" s="40" t="inlineStr">
        <is>
          <t>04/16/2026@12:54pm</t>
        </is>
      </c>
      <c r="AE12" s="38" t="n">
        <v>46129</v>
      </c>
      <c r="AF12" s="33">
        <f>IFERROR(IF(AE12="","",AE12-TODAY()),"")</f>
        <v/>
      </c>
      <c r="AG12" s="40" t="inlineStr">
        <is>
          <t>Kristopher</t>
        </is>
      </c>
    </row>
    <row r="13" ht="19.5" customHeight="1" s="105">
      <c r="A13" s="44" t="inlineStr">
        <is>
          <t>Wasatch Peaks Heating &amp; Air Conditoning</t>
        </is>
      </c>
      <c r="B13" s="23" t="inlineStr">
        <is>
          <t>(801)332-9790</t>
        </is>
      </c>
      <c r="C13" s="23" t="inlineStr">
        <is>
          <t>West Jordan</t>
        </is>
      </c>
      <c r="D13" s="20" t="inlineStr">
        <is>
          <t>Click Here</t>
        </is>
      </c>
      <c r="E13" s="44" t="inlineStr">
        <is>
          <t>Justin</t>
        </is>
      </c>
      <c r="F13" s="34" t="inlineStr">
        <is>
          <t>jwoodson@wpeakshvac.com</t>
        </is>
      </c>
      <c r="G13" s="44" t="inlineStr">
        <is>
          <t>Owner</t>
        </is>
      </c>
      <c r="H13" s="23" t="inlineStr">
        <is>
          <t>5+</t>
        </is>
      </c>
      <c r="I13" s="44" t="inlineStr">
        <is>
          <t>Answered</t>
        </is>
      </c>
      <c r="J13" s="44" t="inlineStr">
        <is>
          <t>Justin/Owner</t>
        </is>
      </c>
      <c r="K13" s="23" t="inlineStr">
        <is>
          <t>Yes</t>
        </is>
      </c>
      <c r="L13" s="44" t="inlineStr">
        <is>
          <t>Open But Busy</t>
        </is>
      </c>
      <c r="M13" s="44" t="inlineStr">
        <is>
          <t>Operations/System</t>
        </is>
      </c>
      <c r="N13" s="44" t="inlineStr">
        <is>
          <t>He said that his whole install crew is in Ohio right now, and he is the one doing the installs so 1 week push</t>
        </is>
      </c>
      <c r="O13" s="44" t="inlineStr">
        <is>
          <t>NA</t>
        </is>
      </c>
      <c r="P13" s="44" t="n"/>
      <c r="Q13" s="44" t="inlineStr">
        <is>
          <t>Severe</t>
        </is>
      </c>
      <c r="R13" s="44" t="inlineStr">
        <is>
          <t>Minor</t>
        </is>
      </c>
      <c r="S13" s="44" t="inlineStr">
        <is>
          <t>Severe</t>
        </is>
      </c>
      <c r="T13" s="44" t="inlineStr">
        <is>
          <t>Moderate</t>
        </is>
      </c>
      <c r="U13" s="44" t="inlineStr">
        <is>
          <t>First Demo Scheduled 1 Week From Today</t>
        </is>
      </c>
      <c r="V13" s="21">
        <f>IFERROR(ROUND((IF(Q13="Severe",4,IF(Q13="Moderate",3,IF(Q13="Minor",2,0)))+IF(R13="Severe",4,IF(R13="Moderate",3,IF(R13="Minor",2,0)))+IF(S13="Severe",4,IF(S13="Moderate",3,IF(S13="Minor",2,0)))+IF(T13="Severe",4,IF(T13="Moderate",3,IF(T13="Minor",2,0))))/16*100,0),"")</f>
        <v/>
      </c>
      <c r="W13" s="23" t="inlineStr">
        <is>
          <t>Yes</t>
        </is>
      </c>
      <c r="X13" s="44" t="inlineStr">
        <is>
          <t>Zoom</t>
        </is>
      </c>
      <c r="Y13" s="44" t="inlineStr">
        <is>
          <t>Just really busy and cant do today</t>
        </is>
      </c>
      <c r="Z13" s="44" t="inlineStr">
        <is>
          <t>Book Zoom</t>
        </is>
      </c>
      <c r="AA13" s="22">
        <f>IFERROR(ROUND(IF(H13&gt;=10,30,IF(H13&gt;=5,20,IF(H13&gt;=2,10,0)))+IF(K13="Yes",20,IF(K13="Unsure",10,0))+IF(W13="Yes",30,IF(W13="Later",15,0))+IFERROR(V13/100*20,0)+IF(L13="Interested",15,IF(L13="Open But Busy",10,IF(L13="Neutral",5,0))),0),"")</f>
        <v/>
      </c>
      <c r="AB13" s="23">
        <f>IFERROR(IF(AA13&gt;=80,"🔥 HOT",IF(AA13&gt;=60,"✅ STRONG",IF(AA13&gt;=40,"⚡ WARM",IF(AA13&gt;=20,"📋 NURTURE",IF(AA13&gt;0,"❌ COLD",""))))),"")</f>
        <v/>
      </c>
      <c r="AC13" s="23">
        <f>IFERROR(IF(AND(AA13&gt;=60,OR(W13="Yes",W13="Later")),"🚨 URGENT",IF(AND(AA13&gt;=40,I13="Call Back"),"📞 CALL BACK",IF(I13="Booked Meeting","📅 BOOKED",IF(I13="Not Interested","🚫 DEAD","⏳ WORKING")))),"")</f>
        <v/>
      </c>
      <c r="AD13" s="44" t="inlineStr">
        <is>
          <t>04/16/2026@12:56pm</t>
        </is>
      </c>
      <c r="AE13" s="37" t="n">
        <v>46135</v>
      </c>
      <c r="AF13" s="25">
        <f>IFERROR(IF(AE13="","",AE13-TODAY()),"")</f>
        <v/>
      </c>
      <c r="AG13" s="44" t="inlineStr">
        <is>
          <t xml:space="preserve">Kristopher </t>
        </is>
      </c>
    </row>
    <row r="14" ht="19.5" customHeight="1" s="105">
      <c r="A14" s="40" t="inlineStr">
        <is>
          <t>All Around Cooling &amp; Heating</t>
        </is>
      </c>
      <c r="B14" s="31" t="inlineStr">
        <is>
          <t>(385)899-2576</t>
        </is>
      </c>
      <c r="C14" s="31" t="inlineStr">
        <is>
          <t>West Jordan</t>
        </is>
      </c>
      <c r="D14" s="28" t="inlineStr">
        <is>
          <t>Click Here</t>
        </is>
      </c>
      <c r="E14" s="40" t="inlineStr">
        <is>
          <t>NA</t>
        </is>
      </c>
      <c r="F14" s="40" t="inlineStr">
        <is>
          <t>NA</t>
        </is>
      </c>
      <c r="G14" s="40" t="inlineStr">
        <is>
          <t>NA</t>
        </is>
      </c>
      <c r="H14" s="31" t="inlineStr">
        <is>
          <t>NA</t>
        </is>
      </c>
      <c r="I14" s="40" t="inlineStr">
        <is>
          <t>Left Voicemail</t>
        </is>
      </c>
      <c r="J14" s="40" t="inlineStr">
        <is>
          <t>NA</t>
        </is>
      </c>
      <c r="K14" s="31" t="inlineStr">
        <is>
          <t>No</t>
        </is>
      </c>
      <c r="L14" s="40" t="inlineStr">
        <is>
          <t>NA</t>
        </is>
      </c>
      <c r="M14" s="40" t="inlineStr">
        <is>
          <t>Scheduling</t>
        </is>
      </c>
      <c r="N14" s="40" t="inlineStr">
        <is>
          <t>NA</t>
        </is>
      </c>
      <c r="O14" s="40" t="inlineStr">
        <is>
          <t>NA</t>
        </is>
      </c>
      <c r="P14" s="40" t="n"/>
      <c r="Q14" s="40" t="inlineStr">
        <is>
          <t>NA</t>
        </is>
      </c>
      <c r="R14" s="40" t="inlineStr">
        <is>
          <t>NA</t>
        </is>
      </c>
      <c r="S14" s="40" t="inlineStr">
        <is>
          <t>Severe</t>
        </is>
      </c>
      <c r="T14" s="40" t="inlineStr">
        <is>
          <t>Severe</t>
        </is>
      </c>
      <c r="U14" s="40" t="inlineStr">
        <is>
          <t>NA</t>
        </is>
      </c>
      <c r="V14" s="29">
        <f>IFERROR(ROUND((IF(Q14="Severe",4,IF(Q14="Moderate",3,IF(Q14="Minor",2,0)))+IF(R14="Severe",4,IF(R14="Moderate",3,IF(R14="Minor",2,0)))+IF(S14="Severe",4,IF(S14="Moderate",3,IF(S14="Minor",2,0)))+IF(T14="Severe",4,IF(T14="Moderate",3,IF(T14="Minor",2,0))))/16*100,0),"")</f>
        <v/>
      </c>
      <c r="W14" s="31" t="inlineStr">
        <is>
          <t>Later</t>
        </is>
      </c>
      <c r="X14" s="40" t="inlineStr">
        <is>
          <t>None Yet</t>
        </is>
      </c>
      <c r="Y14" s="40" t="inlineStr">
        <is>
          <t>NA</t>
        </is>
      </c>
      <c r="Z14" s="40" t="inlineStr">
        <is>
          <t>Call Back</t>
        </is>
      </c>
      <c r="AA14" s="30">
        <f>IFERROR(ROUND(IF(H14&gt;=10,30,IF(H14&gt;=5,20,IF(H14&gt;=2,10,0)))+IF(K14="Yes",20,IF(K14="Unsure",10,0))+IF(W14="Yes",30,IF(W14="Later",15,0))+IFERROR(V14/100*20,0)+IF(L14="Interested",15,IF(L14="Open But Busy",10,IF(L14="Neutral",5,0))),0),"")</f>
        <v/>
      </c>
      <c r="AB14" s="31">
        <f>IFERROR(IF(AA14&gt;=80,"🔥 HOT",IF(AA14&gt;=60,"✅ STRONG",IF(AA14&gt;=40,"⚡ WARM",IF(AA14&gt;=20,"📋 NURTURE",IF(AA14&gt;0,"❌ COLD",""))))),"")</f>
        <v/>
      </c>
      <c r="AC14" s="31">
        <f>IFERROR(IF(AND(AA14&gt;=60,OR(W14="Yes",W14="Later")),"🚨 URGENT",IF(AND(AA14&gt;=40,I14="Call Back"),"📞 CALL BACK",IF(I14="Booked Meeting","📅 BOOKED",IF(I14="Not Interested","🚫 DEAD","⏳ WORKING")))),"")</f>
        <v/>
      </c>
      <c r="AD14" s="40" t="inlineStr">
        <is>
          <t>04/16/2026@2:24pm</t>
        </is>
      </c>
      <c r="AE14" s="38" t="n">
        <v>46129</v>
      </c>
      <c r="AF14" s="33">
        <f>IFERROR(IF(AE14="","",AE14-TODAY()),"")</f>
        <v/>
      </c>
      <c r="AG14" s="40" t="inlineStr">
        <is>
          <t>Kristopher</t>
        </is>
      </c>
    </row>
    <row r="15" ht="19.5" customHeight="1" s="105">
      <c r="A15" s="44" t="inlineStr">
        <is>
          <t>Larsen HVAC &amp; Plumbing</t>
        </is>
      </c>
      <c r="B15" s="23" t="inlineStr">
        <is>
          <t>(801)930-5450</t>
        </is>
      </c>
      <c r="C15" s="23" t="inlineStr">
        <is>
          <t>West Jordan</t>
        </is>
      </c>
      <c r="D15" s="20" t="inlineStr">
        <is>
          <t>Click Here</t>
        </is>
      </c>
      <c r="E15" s="44" t="inlineStr">
        <is>
          <t>Sean</t>
        </is>
      </c>
      <c r="F15" s="44" t="inlineStr">
        <is>
          <t>NA</t>
        </is>
      </c>
      <c r="G15" s="44" t="inlineStr">
        <is>
          <t>NA</t>
        </is>
      </c>
      <c r="H15" s="23" t="inlineStr">
        <is>
          <t>NA</t>
        </is>
      </c>
      <c r="I15" s="44" t="inlineStr">
        <is>
          <t>Answered</t>
        </is>
      </c>
      <c r="J15" s="44" t="inlineStr">
        <is>
          <t>OWNER</t>
        </is>
      </c>
      <c r="K15" s="23" t="inlineStr">
        <is>
          <t>No</t>
        </is>
      </c>
      <c r="L15" s="44" t="inlineStr">
        <is>
          <t>Hostile</t>
        </is>
      </c>
      <c r="M15" s="44" t="inlineStr">
        <is>
          <t>Retention</t>
        </is>
      </c>
      <c r="N15" s="44" t="inlineStr">
        <is>
          <t>They said they have AI but system Didint answer for them</t>
        </is>
      </c>
      <c r="O15" s="44" t="inlineStr">
        <is>
          <t>NA</t>
        </is>
      </c>
      <c r="P15" s="44" t="n"/>
      <c r="Q15" s="44" t="inlineStr">
        <is>
          <t>Moderate</t>
        </is>
      </c>
      <c r="R15" s="44" t="inlineStr">
        <is>
          <t>Severe</t>
        </is>
      </c>
      <c r="S15" s="44" t="inlineStr">
        <is>
          <t>Severe</t>
        </is>
      </c>
      <c r="T15" s="44" t="inlineStr">
        <is>
          <t>Moderate</t>
        </is>
      </c>
      <c r="U15" s="44" t="inlineStr">
        <is>
          <t>Sean said that they have AI and that they're not interested, and it was real quick to just get off the phone — didn't really want to communicate at all..</t>
        </is>
      </c>
      <c r="V15" s="21">
        <f>IFERROR(ROUND((IF(Q15="Severe",4,IF(Q15="Moderate",3,IF(Q15="Minor",2,0)))+IF(R15="Severe",4,IF(R15="Moderate",3,IF(R15="Minor",2,0)))+IF(S15="Severe",4,IF(S15="Moderate",3,IF(S15="Minor",2,0)))+IF(T15="Severe",4,IF(T15="Moderate",3,IF(T15="Minor",2,0))))/16*100,0),"")</f>
        <v/>
      </c>
      <c r="W15" s="23" t="inlineStr">
        <is>
          <t>Later</t>
        </is>
      </c>
      <c r="X15" s="44" t="inlineStr">
        <is>
          <t>None Yet</t>
        </is>
      </c>
      <c r="Y15" s="44" t="inlineStr">
        <is>
          <t>He said they have AI and they are okay, but it's clear that whatever system he thinks he has is not meeting the needs of the company.</t>
        </is>
      </c>
      <c r="Z15" s="44" t="inlineStr">
        <is>
          <t>Call Back</t>
        </is>
      </c>
      <c r="AA15" s="22">
        <f>IFERROR(ROUND(IF(H15&gt;=10,30,IF(H15&gt;=5,20,IF(H15&gt;=2,10,0)))+IF(K15="Yes",20,IF(K15="Unsure",10,0))+IF(W15="Yes",30,IF(W15="Later",15,0))+IFERROR(V15/100*20,0)+IF(L15="Interested",15,IF(L15="Open But Busy",10,IF(L15="Neutral",5,0))),0),"")</f>
        <v/>
      </c>
      <c r="AB15" s="23">
        <f>IFERROR(IF(AA15&gt;=80,"🔥 HOT",IF(AA15&gt;=60,"✅ STRONG",IF(AA15&gt;=40,"⚡ WARM",IF(AA15&gt;=20,"📋 NURTURE",IF(AA15&gt;0,"❌ COLD",""))))),"")</f>
        <v/>
      </c>
      <c r="AC15" s="23">
        <f>IFERROR(IF(AND(AA15&gt;=60,OR(W15="Yes",W15="Later")),"🚨 URGENT",IF(AND(AA15&gt;=40,I15="Call Back"),"📞 CALL BACK",IF(I15="Booked Meeting","📅 BOOKED",IF(I15="Not Interested","🚫 DEAD","⏳ WORKING")))),"")</f>
        <v/>
      </c>
      <c r="AD15" s="44" t="inlineStr">
        <is>
          <t>04/16/2026@2:26pm</t>
        </is>
      </c>
      <c r="AE15" s="37" t="n">
        <v>46132</v>
      </c>
      <c r="AF15" s="25">
        <f>IFERROR(IF(AE15="","",AE15-TODAY()),"")</f>
        <v/>
      </c>
      <c r="AG15" s="44" t="inlineStr">
        <is>
          <t>Kristopher</t>
        </is>
      </c>
    </row>
    <row r="16" ht="19.5" customHeight="1" s="105">
      <c r="A16" s="40" t="inlineStr">
        <is>
          <t>Dynamic HVAC</t>
        </is>
      </c>
      <c r="B16" s="31" t="inlineStr">
        <is>
          <t>(801)852-8360</t>
        </is>
      </c>
      <c r="C16" s="31" t="inlineStr">
        <is>
          <t>West Jordan</t>
        </is>
      </c>
      <c r="D16" s="28" t="inlineStr">
        <is>
          <t>Click Here</t>
        </is>
      </c>
      <c r="E16" s="40" t="inlineStr">
        <is>
          <t>Doug</t>
        </is>
      </c>
      <c r="F16" s="40" t="inlineStr">
        <is>
          <t>NA</t>
        </is>
      </c>
      <c r="G16" s="40" t="inlineStr">
        <is>
          <t>NA</t>
        </is>
      </c>
      <c r="H16" s="31" t="inlineStr">
        <is>
          <t>NA</t>
        </is>
      </c>
      <c r="I16" s="40" t="inlineStr">
        <is>
          <t>No Answer</t>
        </is>
      </c>
      <c r="J16" s="40" t="inlineStr">
        <is>
          <t>NA</t>
        </is>
      </c>
      <c r="K16" s="31" t="inlineStr">
        <is>
          <t>No</t>
        </is>
      </c>
      <c r="L16" s="40" t="inlineStr">
        <is>
          <t>NA</t>
        </is>
      </c>
      <c r="M16" s="40" t="inlineStr">
        <is>
          <t>Scheduling</t>
        </is>
      </c>
      <c r="N16" s="40" t="inlineStr">
        <is>
          <t>NA</t>
        </is>
      </c>
      <c r="O16" s="40" t="inlineStr">
        <is>
          <t>NA</t>
        </is>
      </c>
      <c r="P16" s="40" t="n"/>
      <c r="Q16" s="40" t="inlineStr">
        <is>
          <t>NA</t>
        </is>
      </c>
      <c r="R16" s="40" t="inlineStr">
        <is>
          <t>NA</t>
        </is>
      </c>
      <c r="S16" s="40" t="inlineStr">
        <is>
          <t>Severe</t>
        </is>
      </c>
      <c r="T16" s="40" t="inlineStr">
        <is>
          <t>Severe</t>
        </is>
      </c>
      <c r="U16" s="40" t="inlineStr">
        <is>
          <t>NA</t>
        </is>
      </c>
      <c r="V16" s="29">
        <f>IFERROR(ROUND((IF(Q16="Severe",4,IF(Q16="Moderate",3,IF(Q16="Minor",2,0)))+IF(R16="Severe",4,IF(R16="Moderate",3,IF(R16="Minor",2,0)))+IF(S16="Severe",4,IF(S16="Moderate",3,IF(S16="Minor",2,0)))+IF(T16="Severe",4,IF(T16="Moderate",3,IF(T16="Minor",2,0))))/16*100,0),"")</f>
        <v/>
      </c>
      <c r="W16" s="31" t="inlineStr">
        <is>
          <t>Later</t>
        </is>
      </c>
      <c r="X16" s="40" t="inlineStr">
        <is>
          <t>None Yet</t>
        </is>
      </c>
      <c r="Y16" s="40" t="inlineStr">
        <is>
          <t>NA</t>
        </is>
      </c>
      <c r="Z16" s="40" t="inlineStr">
        <is>
          <t>Call Back</t>
        </is>
      </c>
      <c r="AA16" s="30">
        <f>IFERROR(ROUND(IF(H16&gt;=10,30,IF(H16&gt;=5,20,IF(H16&gt;=2,10,0)))+IF(K16="Yes",20,IF(K16="Unsure",10,0))+IF(W16="Yes",30,IF(W16="Later",15,0))+IFERROR(V16/100*20,0)+IF(L16="Interested",15,IF(L16="Open But Busy",10,IF(L16="Neutral",5,0))),0),"")</f>
        <v/>
      </c>
      <c r="AB16" s="31">
        <f>IFERROR(IF(AA16&gt;=80,"🔥 HOT",IF(AA16&gt;=60,"✅ STRONG",IF(AA16&gt;=40,"⚡ WARM",IF(AA16&gt;=20,"📋 NURTURE",IF(AA16&gt;0,"❌ COLD",""))))),"")</f>
        <v/>
      </c>
      <c r="AC16" s="31">
        <f>IFERROR(IF(AND(AA16&gt;=60,OR(W16="Yes",W16="Later")),"🚨 URGENT",IF(AND(AA16&gt;=40,I16="Call Back"),"📞 CALL BACK",IF(I16="Booked Meeting","📅 BOOKED",IF(I16="Not Interested","🚫 DEAD","⏳ WORKING")))),"")</f>
        <v/>
      </c>
      <c r="AD16" s="40" t="inlineStr">
        <is>
          <t>04/16/2026@2:33pm</t>
        </is>
      </c>
      <c r="AE16" s="38" t="n">
        <v>46129</v>
      </c>
      <c r="AF16" s="33">
        <f>IFERROR(IF(AE16="","",AE16-TODAY()),"")</f>
        <v/>
      </c>
      <c r="AG16" s="40" t="inlineStr">
        <is>
          <t>Kristopher</t>
        </is>
      </c>
    </row>
    <row r="17" ht="19.5" customHeight="1" s="105">
      <c r="A17" s="44" t="inlineStr">
        <is>
          <t>J &amp; M Plumbing Heating &amp; Air</t>
        </is>
      </c>
      <c r="B17" s="23" t="inlineStr">
        <is>
          <t>(801)566-0141</t>
        </is>
      </c>
      <c r="C17" s="23" t="inlineStr">
        <is>
          <t>West Jordan</t>
        </is>
      </c>
      <c r="D17" s="20" t="inlineStr">
        <is>
          <t>Click Here</t>
        </is>
      </c>
      <c r="E17" s="44" t="inlineStr">
        <is>
          <t>NA</t>
        </is>
      </c>
      <c r="F17" s="44" t="inlineStr">
        <is>
          <t>NA</t>
        </is>
      </c>
      <c r="G17" s="44" t="inlineStr">
        <is>
          <t>NA</t>
        </is>
      </c>
      <c r="H17" s="23" t="inlineStr">
        <is>
          <t>NA</t>
        </is>
      </c>
      <c r="I17" s="44" t="inlineStr">
        <is>
          <t>Answered</t>
        </is>
      </c>
      <c r="J17" s="44" t="inlineStr">
        <is>
          <t>CSR/Angle</t>
        </is>
      </c>
      <c r="K17" s="23" t="inlineStr">
        <is>
          <t>No</t>
        </is>
      </c>
      <c r="L17" s="44" t="inlineStr">
        <is>
          <t>Not Interested</t>
        </is>
      </c>
      <c r="M17" s="44" t="inlineStr">
        <is>
          <t>Revenue/Cash Flow</t>
        </is>
      </c>
      <c r="N17" s="44" t="inlineStr">
        <is>
          <t>NA</t>
        </is>
      </c>
      <c r="O17" s="44" t="inlineStr">
        <is>
          <t>NA</t>
        </is>
      </c>
      <c r="P17" s="44" t="n"/>
      <c r="Q17" s="44" t="inlineStr">
        <is>
          <t>NA</t>
        </is>
      </c>
      <c r="R17" s="44" t="inlineStr">
        <is>
          <t>NA</t>
        </is>
      </c>
      <c r="S17" s="44" t="inlineStr">
        <is>
          <t>Moderate</t>
        </is>
      </c>
      <c r="T17" s="44" t="inlineStr">
        <is>
          <t>Severe</t>
        </is>
      </c>
      <c r="U17" s="44" t="inlineStr">
        <is>
          <t>NA</t>
        </is>
      </c>
      <c r="V17" s="21">
        <f>IFERROR(ROUND((IF(Q17="Severe",4,IF(Q17="Moderate",3,IF(Q17="Minor",2,0)))+IF(R17="Severe",4,IF(R17="Moderate",3,IF(R17="Minor",2,0)))+IF(S17="Severe",4,IF(S17="Moderate",3,IF(S17="Minor",2,0)))+IF(T17="Severe",4,IF(T17="Moderate",3,IF(T17="Minor",2,0))))/16*100,0),"")</f>
        <v/>
      </c>
      <c r="W17" s="23" t="inlineStr">
        <is>
          <t>Later</t>
        </is>
      </c>
      <c r="X17" s="44" t="inlineStr">
        <is>
          <t>None Yet</t>
        </is>
      </c>
      <c r="Y17" s="44" t="inlineStr">
        <is>
          <t>NA</t>
        </is>
      </c>
      <c r="Z17" s="44" t="inlineStr">
        <is>
          <t>Call Back</t>
        </is>
      </c>
      <c r="AA17" s="22">
        <f>IFERROR(ROUND(IF(H17&gt;=10,30,IF(H17&gt;=5,20,IF(H17&gt;=2,10,0)))+IF(K17="Yes",20,IF(K17="Unsure",10,0))+IF(W17="Yes",30,IF(W17="Later",15,0))+IFERROR(V17/100*20,0)+IF(L17="Interested",15,IF(L17="Open But Busy",10,IF(L17="Neutral",5,0))),0),"")</f>
        <v/>
      </c>
      <c r="AB17" s="23">
        <f>IFERROR(IF(AA17&gt;=80,"🔥 HOT",IF(AA17&gt;=60,"✅ STRONG",IF(AA17&gt;=40,"⚡ WARM",IF(AA17&gt;=20,"📋 NURTURE",IF(AA17&gt;0,"❌ COLD",""))))),"")</f>
        <v/>
      </c>
      <c r="AC17" s="23">
        <f>IFERROR(IF(AND(AA17&gt;=60,OR(W17="Yes",W17="Later")),"🚨 URGENT",IF(AND(AA17&gt;=40,I17="Call Back"),"📞 CALL BACK",IF(I17="Booked Meeting","📅 BOOKED",IF(I17="Not Interested","🚫 DEAD","⏳ WORKING")))),"")</f>
        <v/>
      </c>
      <c r="AD17" s="44" t="inlineStr">
        <is>
          <t>04/16/2026@2:36pm</t>
        </is>
      </c>
      <c r="AE17" s="37" t="n">
        <v>46129</v>
      </c>
      <c r="AF17" s="25">
        <f>IFERROR(IF(AE17="","",AE17-TODAY()),"")</f>
        <v/>
      </c>
      <c r="AG17" s="44" t="inlineStr">
        <is>
          <t>Kristopher</t>
        </is>
      </c>
    </row>
    <row r="18" ht="19.5" customHeight="1" s="105">
      <c r="A18" s="40" t="inlineStr">
        <is>
          <t>Arrow HVAC</t>
        </is>
      </c>
      <c r="B18" s="31" t="inlineStr">
        <is>
          <t>(801)515-4096</t>
        </is>
      </c>
      <c r="C18" s="31" t="inlineStr">
        <is>
          <t>West Jordan</t>
        </is>
      </c>
      <c r="D18" s="28" t="inlineStr">
        <is>
          <t>Click Here</t>
        </is>
      </c>
      <c r="E18" s="40" t="inlineStr">
        <is>
          <t>NA</t>
        </is>
      </c>
      <c r="F18" s="40" t="inlineStr">
        <is>
          <t>NA</t>
        </is>
      </c>
      <c r="G18" s="40" t="inlineStr">
        <is>
          <t>NA</t>
        </is>
      </c>
      <c r="H18" s="31" t="inlineStr">
        <is>
          <t>NA</t>
        </is>
      </c>
      <c r="I18" s="40" t="inlineStr">
        <is>
          <t>No Answer</t>
        </is>
      </c>
      <c r="J18" s="40" t="inlineStr">
        <is>
          <t>NA</t>
        </is>
      </c>
      <c r="K18" s="31" t="inlineStr">
        <is>
          <t>No</t>
        </is>
      </c>
      <c r="L18" s="40" t="inlineStr">
        <is>
          <t>NA</t>
        </is>
      </c>
      <c r="M18" s="40" t="inlineStr">
        <is>
          <t>Scheduling</t>
        </is>
      </c>
      <c r="N18" s="40" t="inlineStr">
        <is>
          <t>NA</t>
        </is>
      </c>
      <c r="O18" s="40" t="inlineStr">
        <is>
          <t>NA</t>
        </is>
      </c>
      <c r="P18" s="40" t="n"/>
      <c r="Q18" s="40" t="inlineStr">
        <is>
          <t>NA</t>
        </is>
      </c>
      <c r="R18" s="40" t="inlineStr">
        <is>
          <t>NA</t>
        </is>
      </c>
      <c r="S18" s="40" t="inlineStr">
        <is>
          <t>Severe</t>
        </is>
      </c>
      <c r="T18" s="40" t="inlineStr">
        <is>
          <t>Severe</t>
        </is>
      </c>
      <c r="U18" s="40" t="inlineStr">
        <is>
          <t>NA</t>
        </is>
      </c>
      <c r="V18" s="29">
        <f>IFERROR(ROUND((IF(Q18="Severe",4,IF(Q18="Moderate",3,IF(Q18="Minor",2,0)))+IF(R18="Severe",4,IF(R18="Moderate",3,IF(R18="Minor",2,0)))+IF(S18="Severe",4,IF(S18="Moderate",3,IF(S18="Minor",2,0)))+IF(T18="Severe",4,IF(T18="Moderate",3,IF(T18="Minor",2,0))))/16*100,0),"")</f>
        <v/>
      </c>
      <c r="W18" s="31" t="inlineStr">
        <is>
          <t>Later</t>
        </is>
      </c>
      <c r="X18" s="40" t="inlineStr">
        <is>
          <t>None Yet</t>
        </is>
      </c>
      <c r="Y18" s="40" t="inlineStr">
        <is>
          <t>NA</t>
        </is>
      </c>
      <c r="Z18" s="40" t="inlineStr">
        <is>
          <t>Call Back</t>
        </is>
      </c>
      <c r="AA18" s="30">
        <f>IFERROR(ROUND(IF(H18&gt;=10,30,IF(H18&gt;=5,20,IF(H18&gt;=2,10,0)))+IF(K18="Yes",20,IF(K18="Unsure",10,0))+IF(W18="Yes",30,IF(W18="Later",15,0))+IFERROR(V18/100*20,0)+IF(L18="Interested",15,IF(L18="Open But Busy",10,IF(L18="Neutral",5,0))),0),"")</f>
        <v/>
      </c>
      <c r="AB18" s="31">
        <f>IFERROR(IF(AA18&gt;=80,"🔥 HOT",IF(AA18&gt;=60,"✅ STRONG",IF(AA18&gt;=40,"⚡ WARM",IF(AA18&gt;=20,"📋 NURTURE",IF(AA18&gt;0,"❌ COLD",""))))),"")</f>
        <v/>
      </c>
      <c r="AC18" s="31">
        <f>IFERROR(IF(AND(AA18&gt;=60,OR(W18="Yes",W18="Later")),"🚨 URGENT",IF(AND(AA18&gt;=40,I18="Call Back"),"📞 CALL BACK",IF(I18="Booked Meeting","📅 BOOKED",IF(I18="Not Interested","🚫 DEAD","⏳ WORKING")))),"")</f>
        <v/>
      </c>
      <c r="AD18" s="40" t="inlineStr">
        <is>
          <t>04/16/2026@2:40pm</t>
        </is>
      </c>
      <c r="AE18" s="38" t="n">
        <v>46129</v>
      </c>
      <c r="AF18" s="33">
        <f>IFERROR(IF(AE18="","",AE18-TODAY()),"")</f>
        <v/>
      </c>
      <c r="AG18" s="40" t="inlineStr">
        <is>
          <t>Kristopher</t>
        </is>
      </c>
    </row>
    <row r="19" ht="19.5" customHeight="1" s="105">
      <c r="A19" s="44" t="inlineStr">
        <is>
          <t>Huish Heating &amp; AC</t>
        </is>
      </c>
      <c r="B19" s="23" t="inlineStr">
        <is>
          <t>(801)971-3418</t>
        </is>
      </c>
      <c r="C19" s="23" t="inlineStr">
        <is>
          <t>Salt Lake City</t>
        </is>
      </c>
      <c r="D19" s="20" t="inlineStr">
        <is>
          <t>Click Here</t>
        </is>
      </c>
      <c r="E19" s="44" t="inlineStr">
        <is>
          <t>NA</t>
        </is>
      </c>
      <c r="F19" s="44" t="inlineStr">
        <is>
          <t>NA</t>
        </is>
      </c>
      <c r="G19" s="44" t="inlineStr">
        <is>
          <t>NA</t>
        </is>
      </c>
      <c r="H19" s="23" t="inlineStr">
        <is>
          <t>NA</t>
        </is>
      </c>
      <c r="I19" s="44" t="inlineStr">
        <is>
          <t>No Answer</t>
        </is>
      </c>
      <c r="J19" s="44" t="inlineStr">
        <is>
          <t>NA</t>
        </is>
      </c>
      <c r="K19" s="23" t="inlineStr">
        <is>
          <t>No</t>
        </is>
      </c>
      <c r="L19" s="44" t="inlineStr">
        <is>
          <t>NA</t>
        </is>
      </c>
      <c r="M19" s="44" t="inlineStr">
        <is>
          <t>Scheduling</t>
        </is>
      </c>
      <c r="N19" s="44" t="inlineStr">
        <is>
          <t>NA</t>
        </is>
      </c>
      <c r="O19" s="44" t="inlineStr">
        <is>
          <t>NA</t>
        </is>
      </c>
      <c r="P19" s="44" t="n"/>
      <c r="Q19" s="44" t="inlineStr">
        <is>
          <t>NA</t>
        </is>
      </c>
      <c r="R19" s="44" t="inlineStr">
        <is>
          <t>NA</t>
        </is>
      </c>
      <c r="S19" s="44" t="inlineStr">
        <is>
          <t>Severe</t>
        </is>
      </c>
      <c r="T19" s="44" t="inlineStr">
        <is>
          <t>Severe</t>
        </is>
      </c>
      <c r="U19" s="44" t="inlineStr">
        <is>
          <t>NA</t>
        </is>
      </c>
      <c r="V19" s="21">
        <f>IFERROR(ROUND((IF(Q19="Severe",4,IF(Q19="Moderate",3,IF(Q19="Minor",2,0)))+IF(R19="Severe",4,IF(R19="Moderate",3,IF(R19="Minor",2,0)))+IF(S19="Severe",4,IF(S19="Moderate",3,IF(S19="Minor",2,0)))+IF(T19="Severe",4,IF(T19="Moderate",3,IF(T19="Minor",2,0))))/16*100,0),"")</f>
        <v/>
      </c>
      <c r="W19" s="23" t="inlineStr">
        <is>
          <t>Later</t>
        </is>
      </c>
      <c r="X19" s="44" t="inlineStr">
        <is>
          <t>None Yet</t>
        </is>
      </c>
      <c r="Y19" s="44" t="inlineStr">
        <is>
          <t>NA</t>
        </is>
      </c>
      <c r="Z19" s="44" t="inlineStr">
        <is>
          <t>Call Back</t>
        </is>
      </c>
      <c r="AA19" s="22">
        <f>IFERROR(ROUND(IF(H19&gt;=10,30,IF(H19&gt;=5,20,IF(H19&gt;=2,10,0)))+IF(K19="Yes",20,IF(K19="Unsure",10,0))+IF(W19="Yes",30,IF(W19="Later",15,0))+IFERROR(V19/100*20,0)+IF(L19="Interested",15,IF(L19="Open But Busy",10,IF(L19="Neutral",5,0))),0),"")</f>
        <v/>
      </c>
      <c r="AB19" s="23">
        <f>IFERROR(IF(AA19&gt;=80,"🔥 HOT",IF(AA19&gt;=60,"✅ STRONG",IF(AA19&gt;=40,"⚡ WARM",IF(AA19&gt;=20,"📋 NURTURE",IF(AA19&gt;0,"❌ COLD",""))))),"")</f>
        <v/>
      </c>
      <c r="AC19" s="23">
        <f>IFERROR(IF(AND(AA19&gt;=60,OR(W19="Yes",W19="Later")),"🚨 URGENT",IF(AND(AA19&gt;=40,I19="Call Back"),"📞 CALL BACK",IF(I19="Booked Meeting","📅 BOOKED",IF(I19="Not Interested","🚫 DEAD","⏳ WORKING")))),"")</f>
        <v/>
      </c>
      <c r="AD19" s="44" t="inlineStr">
        <is>
          <t>04/16/2026@2:42pm</t>
        </is>
      </c>
      <c r="AE19" s="37" t="n">
        <v>46129</v>
      </c>
      <c r="AF19" s="25">
        <f>IFERROR(IF(AE19="","",AE19-TODAY()),"")</f>
        <v/>
      </c>
      <c r="AG19" s="44" t="inlineStr">
        <is>
          <t>Kristopher</t>
        </is>
      </c>
    </row>
    <row r="20" ht="19.5" customHeight="1" s="105">
      <c r="A20" s="40" t="inlineStr">
        <is>
          <t>Rocket HVAC</t>
        </is>
      </c>
      <c r="B20" s="31" t="inlineStr">
        <is>
          <t>(385)722-7638</t>
        </is>
      </c>
      <c r="C20" s="31" t="inlineStr">
        <is>
          <t>West Jordan</t>
        </is>
      </c>
      <c r="D20" s="28" t="inlineStr">
        <is>
          <t>Click Here</t>
        </is>
      </c>
      <c r="E20" s="40" t="inlineStr">
        <is>
          <t>NA</t>
        </is>
      </c>
      <c r="F20" s="40" t="inlineStr">
        <is>
          <t>NA</t>
        </is>
      </c>
      <c r="G20" s="40" t="inlineStr">
        <is>
          <t>NA</t>
        </is>
      </c>
      <c r="H20" s="31" t="inlineStr">
        <is>
          <t>NA</t>
        </is>
      </c>
      <c r="I20" s="40" t="inlineStr">
        <is>
          <t>Answered</t>
        </is>
      </c>
      <c r="J20" s="40" t="inlineStr">
        <is>
          <t>NA</t>
        </is>
      </c>
      <c r="K20" s="31" t="inlineStr">
        <is>
          <t>No</t>
        </is>
      </c>
      <c r="L20" s="40" t="inlineStr">
        <is>
          <t>Hostile</t>
        </is>
      </c>
      <c r="M20" s="40" t="inlineStr">
        <is>
          <t>Operations/System</t>
        </is>
      </c>
      <c r="N20" s="40" t="inlineStr">
        <is>
          <t xml:space="preserve">The guy answered the phone, we talk for a little bit, I gave him my opener, and he seemed very curious. I ended up telling him what we do, and that's when I was like, all I need is just 15 minutes," and he said "We're super busy, we can't meet with you any time soon," and I'm not going to take that for a fucking answer, I was like, "Okay, well, good thing I only need 15 minutes," and as I Continued, he literally hung up. </t>
        </is>
      </c>
      <c r="O20" s="40" t="inlineStr">
        <is>
          <t>NA</t>
        </is>
      </c>
      <c r="P20" s="40" t="n"/>
      <c r="Q20" s="40" t="inlineStr">
        <is>
          <t>Severe</t>
        </is>
      </c>
      <c r="R20" s="40" t="inlineStr">
        <is>
          <t>Severe</t>
        </is>
      </c>
      <c r="S20" s="40" t="inlineStr">
        <is>
          <t>Severe</t>
        </is>
      </c>
      <c r="T20" s="40" t="inlineStr">
        <is>
          <t>Moderate</t>
        </is>
      </c>
      <c r="U20" s="40" t="inlineStr">
        <is>
          <t>"We Are Super Busy"</t>
        </is>
      </c>
      <c r="V20" s="29">
        <f>IFERROR(ROUND((IF(Q20="Severe",4,IF(Q20="Moderate",3,IF(Q20="Minor",2,0)))+IF(R20="Severe",4,IF(R20="Moderate",3,IF(R20="Minor",2,0)))+IF(S20="Severe",4,IF(S20="Moderate",3,IF(S20="Minor",2,0)))+IF(T20="Severe",4,IF(T20="Moderate",3,IF(T20="Minor",2,0))))/16*100,0),"")</f>
        <v/>
      </c>
      <c r="W20" s="31" t="inlineStr">
        <is>
          <t>Later</t>
        </is>
      </c>
      <c r="X20" s="40" t="inlineStr">
        <is>
          <t>None Yet</t>
        </is>
      </c>
      <c r="Y20" s="40" t="inlineStr">
        <is>
          <t>NA</t>
        </is>
      </c>
      <c r="Z20" s="40" t="inlineStr">
        <is>
          <t>Call Back</t>
        </is>
      </c>
      <c r="AA20" s="30">
        <f>IFERROR(ROUND(IF(H20&gt;=10,30,IF(H20&gt;=5,20,IF(H20&gt;=2,10,0)))+IF(K20="Yes",20,IF(K20="Unsure",10,0))+IF(W20="Yes",30,IF(W20="Later",15,0))+IFERROR(V20/100*20,0)+IF(L20="Interested",15,IF(L20="Open But Busy",10,IF(L20="Neutral",5,0))),0),"")</f>
        <v/>
      </c>
      <c r="AB20" s="31">
        <f>IFERROR(IF(AA20&gt;=80,"🔥 HOT",IF(AA20&gt;=60,"✅ STRONG",IF(AA20&gt;=40,"⚡ WARM",IF(AA20&gt;=20,"📋 NURTURE",IF(AA20&gt;0,"❌ COLD",""))))),"")</f>
        <v/>
      </c>
      <c r="AC20" s="31">
        <f>IFERROR(IF(AND(AA20&gt;=60,OR(W20="Yes",W20="Later")),"🚨 URGENT",IF(AND(AA20&gt;=40,I20="Call Back"),"📞 CALL BACK",IF(I20="Booked Meeting","📅 BOOKED",IF(I20="Not Interested","🚫 DEAD","⏳ WORKING")))),"")</f>
        <v/>
      </c>
      <c r="AD20" s="40" t="inlineStr">
        <is>
          <t>04/16/2026@2:45pm</t>
        </is>
      </c>
      <c r="AE20" s="38" t="n">
        <v>46129</v>
      </c>
      <c r="AF20" s="33">
        <f>IFERROR(IF(AE20="","",AE20-TODAY()),"")</f>
        <v/>
      </c>
      <c r="AG20" s="40" t="inlineStr">
        <is>
          <t>Kristopher</t>
        </is>
      </c>
    </row>
    <row r="21" ht="19.5" customHeight="1" s="105">
      <c r="A21" s="44" t="inlineStr">
        <is>
          <t>Just Right Plumbing Heating &amp; Colling</t>
        </is>
      </c>
      <c r="B21" s="23" t="inlineStr">
        <is>
          <t>(801)302-1154</t>
        </is>
      </c>
      <c r="C21" s="23" t="inlineStr">
        <is>
          <t>Salt Lake City</t>
        </is>
      </c>
      <c r="D21" s="20" t="inlineStr">
        <is>
          <t>Click Here</t>
        </is>
      </c>
      <c r="E21" s="44" t="inlineStr">
        <is>
          <t>NA</t>
        </is>
      </c>
      <c r="F21" s="44" t="inlineStr">
        <is>
          <t>NA</t>
        </is>
      </c>
      <c r="G21" s="44" t="inlineStr">
        <is>
          <t xml:space="preserve">Call Center </t>
        </is>
      </c>
      <c r="H21" s="23" t="inlineStr">
        <is>
          <t>NA</t>
        </is>
      </c>
      <c r="I21" s="44" t="inlineStr">
        <is>
          <t>Bad Number</t>
        </is>
      </c>
      <c r="J21" s="44" t="inlineStr">
        <is>
          <t>Call Center That Books Their Calls</t>
        </is>
      </c>
      <c r="K21" s="23" t="inlineStr">
        <is>
          <t>No</t>
        </is>
      </c>
      <c r="L21" s="44" t="inlineStr">
        <is>
          <t>Neutral</t>
        </is>
      </c>
      <c r="M21" s="44" t="inlineStr">
        <is>
          <t>Operations/System</t>
        </is>
      </c>
      <c r="N21" s="44" t="inlineStr">
        <is>
          <t>They are outsourcing their bookings to a call center, which I'm sure is costing them an arm and a leg.</t>
        </is>
      </c>
      <c r="O21" s="44" t="inlineStr">
        <is>
          <t>NA</t>
        </is>
      </c>
      <c r="P21" s="44" t="n"/>
      <c r="Q21" s="44" t="inlineStr">
        <is>
          <t>Minor</t>
        </is>
      </c>
      <c r="R21" s="44" t="inlineStr">
        <is>
          <t>Moderate</t>
        </is>
      </c>
      <c r="S21" s="44" t="inlineStr">
        <is>
          <t>Severe</t>
        </is>
      </c>
      <c r="T21" s="44" t="inlineStr">
        <is>
          <t>Moderate</t>
        </is>
      </c>
      <c r="U21" s="44" t="inlineStr">
        <is>
          <t>She Said Just go there whats the worst they could say?</t>
        </is>
      </c>
      <c r="V21" s="21">
        <f>IFERROR(ROUND((IF(Q21="Severe",4,IF(Q21="Moderate",3,IF(Q21="Minor",2,0)))+IF(R21="Severe",4,IF(R21="Moderate",3,IF(R21="Minor",2,0)))+IF(S21="Severe",4,IF(S21="Moderate",3,IF(S21="Minor",2,0)))+IF(T21="Severe",4,IF(T21="Moderate",3,IF(T21="Minor",2,0))))/16*100,0),"")</f>
        <v/>
      </c>
      <c r="W21" s="23" t="inlineStr">
        <is>
          <t>Later</t>
        </is>
      </c>
      <c r="X21" s="44" t="inlineStr">
        <is>
          <t>In Person</t>
        </is>
      </c>
      <c r="Y21" s="44" t="inlineStr">
        <is>
          <t>None really the call center told me to just go to the office</t>
        </is>
      </c>
      <c r="Z21" s="44" t="inlineStr">
        <is>
          <t>Book In Person</t>
        </is>
      </c>
      <c r="AA21" s="22">
        <f>IFERROR(ROUND(IF(H21&gt;=10,30,IF(H21&gt;=5,20,IF(H21&gt;=2,10,0)))+IF(K21="Yes",20,IF(K21="Unsure",10,0))+IF(W21="Yes",30,IF(W21="Later",15,0))+IFERROR(V21/100*20,0)+IF(L21="Interested",15,IF(L21="Open But Busy",10,IF(L21="Neutral",5,0))),0),"")</f>
        <v/>
      </c>
      <c r="AB21" s="23">
        <f>IFERROR(IF(AA21&gt;=80,"🔥 HOT",IF(AA21&gt;=60,"✅ STRONG",IF(AA21&gt;=40,"⚡ WARM",IF(AA21&gt;=20,"📋 NURTURE",IF(AA21&gt;0,"❌ COLD",""))))),"")</f>
        <v/>
      </c>
      <c r="AC21" s="23">
        <f>IFERROR(IF(AND(AA21&gt;=60,OR(W21="Yes",W21="Later")),"🚨 URGENT",IF(AND(AA21&gt;=40,I21="Call Back"),"📞 CALL BACK",IF(I21="Booked Meeting","📅 BOOKED",IF(I21="Not Interested","🚫 DEAD","⏳ WORKING")))),"")</f>
        <v/>
      </c>
      <c r="AD21" s="44" t="inlineStr">
        <is>
          <t>04/17/2026@9:23am</t>
        </is>
      </c>
      <c r="AE21" s="37" t="n">
        <v>46129</v>
      </c>
      <c r="AF21" s="25">
        <f>IFERROR(IF(AE21="","",AE21-TODAY()),"")</f>
        <v/>
      </c>
      <c r="AG21" s="44" t="inlineStr">
        <is>
          <t>Kristopher</t>
        </is>
      </c>
    </row>
    <row r="22" ht="19.5" customHeight="1" s="105">
      <c r="A22" s="40" t="inlineStr">
        <is>
          <t>A-1 Heating &amp; Colling</t>
        </is>
      </c>
      <c r="B22" s="31" t="inlineStr">
        <is>
          <t>(801)210-1018</t>
        </is>
      </c>
      <c r="C22" s="31" t="inlineStr">
        <is>
          <t>Murray</t>
        </is>
      </c>
      <c r="D22" s="28" t="inlineStr">
        <is>
          <t>Click Here</t>
        </is>
      </c>
      <c r="E22" s="40" t="inlineStr">
        <is>
          <t>Asim</t>
        </is>
      </c>
      <c r="F22" s="40" t="inlineStr">
        <is>
          <t>a1heatingandcooling@gmail.com</t>
        </is>
      </c>
      <c r="G22" s="40" t="inlineStr">
        <is>
          <t>Owner</t>
        </is>
      </c>
      <c r="H22" s="31" t="inlineStr">
        <is>
          <t>5+</t>
        </is>
      </c>
      <c r="I22" s="40" t="inlineStr">
        <is>
          <t>Answered</t>
        </is>
      </c>
      <c r="J22" s="40" t="inlineStr">
        <is>
          <t>Owner</t>
        </is>
      </c>
      <c r="K22" s="31" t="inlineStr">
        <is>
          <t>Yes</t>
        </is>
      </c>
      <c r="L22" s="40" t="inlineStr">
        <is>
          <t>Interested</t>
        </is>
      </c>
      <c r="M22" s="40" t="inlineStr">
        <is>
          <t>Operations/System</t>
        </is>
      </c>
      <c r="N22" s="40" t="inlineStr">
        <is>
          <t xml:space="preserve"> They are extremely busy today, but he said Monday morning at 10:30AM will be perfect.</t>
        </is>
      </c>
      <c r="O22" s="40" t="inlineStr">
        <is>
          <t>NA</t>
        </is>
      </c>
      <c r="P22" s="40" t="n"/>
      <c r="Q22" s="40" t="inlineStr">
        <is>
          <t>Moderate</t>
        </is>
      </c>
      <c r="R22" s="40" t="inlineStr">
        <is>
          <t>Moderate</t>
        </is>
      </c>
      <c r="S22" s="40" t="inlineStr">
        <is>
          <t>Severe</t>
        </is>
      </c>
      <c r="T22" s="40" t="inlineStr">
        <is>
          <t>Moderate</t>
        </is>
      </c>
      <c r="U22" s="40" t="inlineStr">
        <is>
          <t xml:space="preserve">He was just extremely busy, and it's clear they don't have a system because he was the one answering the phone, and when he answered the phone, he seemed very agitated. </t>
        </is>
      </c>
      <c r="V22" s="29">
        <f>IFERROR(ROUND((IF(Q22="Severe",4,IF(Q22="Moderate",3,IF(Q22="Minor",2,0)))+IF(R22="Severe",4,IF(R22="Moderate",3,IF(R22="Minor",2,0)))+IF(S22="Severe",4,IF(S22="Moderate",3,IF(S22="Minor",2,0)))+IF(T22="Severe",4,IF(T22="Moderate",3,IF(T22="Minor",2,0))))/16*100,0),"")</f>
        <v/>
      </c>
      <c r="W22" s="31" t="inlineStr">
        <is>
          <t>Yes</t>
        </is>
      </c>
      <c r="X22" s="40" t="inlineStr">
        <is>
          <t>In Person</t>
        </is>
      </c>
      <c r="Y22" s="40" t="inlineStr">
        <is>
          <t>He really didn't have any objections, he just seems very open to talking about his business.</t>
        </is>
      </c>
      <c r="Z22" s="40" t="inlineStr">
        <is>
          <t>Book In Person</t>
        </is>
      </c>
      <c r="AA22" s="30">
        <f>IFERROR(ROUND(IF(H22&gt;=10,30,IF(H22&gt;=5,20,IF(H22&gt;=2,10,0)))+IF(K22="Yes",20,IF(K22="Unsure",10,0))+IF(W22="Yes",30,IF(W22="Later",15,0))+IFERROR(V22/100*20,0)+IF(L22="Interested",15,IF(L22="Open But Busy",10,IF(L22="Neutral",5,0))),0),"")</f>
        <v/>
      </c>
      <c r="AB22" s="31">
        <f>IFERROR(IF(AA22&gt;=80,"🔥 HOT",IF(AA22&gt;=60,"✅ STRONG",IF(AA22&gt;=40,"⚡ WARM",IF(AA22&gt;=20,"📋 NURTURE",IF(AA22&gt;0,"❌ COLD",""))))),"")</f>
        <v/>
      </c>
      <c r="AC22" s="31">
        <f>IFERROR(IF(AND(AA22&gt;=60,OR(W22="Yes",W22="Later")),"🚨 URGENT",IF(AND(AA22&gt;=40,I22="Call Back"),"📞 CALL BACK",IF(I22="Booked Meeting","📅 BOOKED",IF(I22="Not Interested","🚫 DEAD","⏳ WORKING")))),"")</f>
        <v/>
      </c>
      <c r="AD22" s="40" t="inlineStr">
        <is>
          <t>04/17/2026@9:29am</t>
        </is>
      </c>
      <c r="AE22" s="38" t="n">
        <v>46132</v>
      </c>
      <c r="AF22" s="33">
        <f>IFERROR(IF(AE22="","",AE22-TODAY()),"")</f>
        <v/>
      </c>
      <c r="AG22" s="40" t="inlineStr">
        <is>
          <t>Kristopher</t>
        </is>
      </c>
    </row>
    <row r="23" ht="19.5" customHeight="1" s="105">
      <c r="A23" s="44" t="inlineStr">
        <is>
          <t>Scott Hale Plumbing Heating &amp; Air</t>
        </is>
      </c>
      <c r="B23" s="23" t="inlineStr">
        <is>
          <t>(801)312-9038</t>
        </is>
      </c>
      <c r="C23" s="23" t="inlineStr">
        <is>
          <t>Murray</t>
        </is>
      </c>
      <c r="D23" s="20" t="inlineStr">
        <is>
          <t>Click Here</t>
        </is>
      </c>
      <c r="E23" s="44" t="inlineStr">
        <is>
          <t>NA</t>
        </is>
      </c>
      <c r="F23" s="44" t="inlineStr">
        <is>
          <t>NA</t>
        </is>
      </c>
      <c r="G23" s="44" t="inlineStr">
        <is>
          <t>CSR</t>
        </is>
      </c>
      <c r="H23" s="23" t="inlineStr">
        <is>
          <t>20+</t>
        </is>
      </c>
      <c r="I23" s="44" t="inlineStr">
        <is>
          <t>Answered</t>
        </is>
      </c>
      <c r="J23" s="44" t="inlineStr">
        <is>
          <t>CST/Kashai</t>
        </is>
      </c>
      <c r="K23" s="23" t="inlineStr">
        <is>
          <t>No</t>
        </is>
      </c>
      <c r="L23" s="44" t="inlineStr">
        <is>
          <t>Open But Busy</t>
        </is>
      </c>
      <c r="M23" s="44" t="inlineStr">
        <is>
          <t>Operations/System</t>
        </is>
      </c>
      <c r="N23" s="44" t="inlineStr">
        <is>
          <t xml:space="preserve">Honestly, I could not get past the gatekeeper, as I was talking about how I want to bring coffee and donuts for the install crew, and take a moment or two with the owner, she seemed very surprised, and was like, "What company are you with?" and I ended up telling her where with Econ Growth, and what we do is we install AI infrastructure to increase business valuation. Now, I just want to have a quick moment with the owner, because I want to show him something that I built, and she was like, "Okay, let me take down your name, your number, and a little bit of information, and I'll give it to a manager and I'll have them call you back, if they're interested." </t>
        </is>
      </c>
      <c r="O23" s="44" t="inlineStr">
        <is>
          <t>NA</t>
        </is>
      </c>
      <c r="P23" s="44" t="n"/>
      <c r="Q23" s="44" t="inlineStr">
        <is>
          <t>Minor</t>
        </is>
      </c>
      <c r="R23" s="44" t="inlineStr">
        <is>
          <t>Minor</t>
        </is>
      </c>
      <c r="S23" s="44" t="inlineStr">
        <is>
          <t>Severe</t>
        </is>
      </c>
      <c r="T23" s="44" t="inlineStr">
        <is>
          <t>Moderate</t>
        </is>
      </c>
      <c r="U23" s="44" t="inlineStr">
        <is>
          <t>This one was on me — I could not get past the gatekeeper, and I knew I should have asked better questions instead of just answering the questions, but only on my third call for the day, Not bad.</t>
        </is>
      </c>
      <c r="V23" s="21">
        <f>IFERROR(ROUND((IF(Q23="Severe",4,IF(Q23="Moderate",3,IF(Q23="Minor",2,0)))+IF(R23="Severe",4,IF(R23="Moderate",3,IF(R23="Minor",2,0)))+IF(S23="Severe",4,IF(S23="Moderate",3,IF(S23="Minor",2,0)))+IF(T23="Severe",4,IF(T23="Moderate",3,IF(T23="Minor",2,0))))/16*100,0),"")</f>
        <v/>
      </c>
      <c r="W23" s="23" t="inlineStr">
        <is>
          <t>Later</t>
        </is>
      </c>
      <c r="X23" s="44" t="inlineStr">
        <is>
          <t>None Yet</t>
        </is>
      </c>
      <c r="Y23" s="44" t="inlineStr">
        <is>
          <t xml:space="preserve">No real objections — they were just more curious about who I was and what I wanted, which after I shared about increasing business valuation via AI infrastructure and us working with a select few individuals who have the right expertise in the space to be able to scale over $150 million in revenue. </t>
        </is>
      </c>
      <c r="Z23" s="44" t="inlineStr">
        <is>
          <t>Call Back</t>
        </is>
      </c>
      <c r="AA23" s="22">
        <f>IFERROR(ROUND(IF(H23&gt;=10,30,IF(H23&gt;=5,20,IF(H23&gt;=2,10,0)))+IF(K23="Yes",20,IF(K23="Unsure",10,0))+IF(W23="Yes",30,IF(W23="Later",15,0))+IFERROR(V23/100*20,0)+IF(L23="Interested",15,IF(L23="Open But Busy",10,IF(L23="Neutral",5,0))),0),"")</f>
        <v/>
      </c>
      <c r="AB23" s="23">
        <f>IFERROR(IF(AA23&gt;=80,"🔥 HOT",IF(AA23&gt;=60,"✅ STRONG",IF(AA23&gt;=40,"⚡ WARM",IF(AA23&gt;=20,"📋 NURTURE",IF(AA23&gt;0,"❌ COLD",""))))),"")</f>
        <v/>
      </c>
      <c r="AC23" s="23">
        <f>IFERROR(IF(AND(AA23&gt;=60,OR(W23="Yes",W23="Later")),"🚨 URGENT",IF(AND(AA23&gt;=40,I23="Call Back"),"📞 CALL BACK",IF(I23="Booked Meeting","📅 BOOKED",IF(I23="Not Interested","🚫 DEAD","⏳ WORKING")))),"")</f>
        <v/>
      </c>
      <c r="AD23" s="44" t="inlineStr">
        <is>
          <t>04/17/2026@9:56am</t>
        </is>
      </c>
      <c r="AE23" s="37" t="n">
        <v>46132</v>
      </c>
      <c r="AF23" s="25">
        <f>IFERROR(IF(AE23="","",AE23-TODAY()),"")</f>
        <v/>
      </c>
      <c r="AG23" s="44" t="inlineStr">
        <is>
          <t>Kristopher</t>
        </is>
      </c>
    </row>
    <row r="24" ht="19.5" customHeight="1" s="105">
      <c r="A24" s="40" t="inlineStr">
        <is>
          <t>Air Design Heating &amp; Cooling</t>
        </is>
      </c>
      <c r="B24" s="31" t="inlineStr">
        <is>
          <t>(385)332-8200</t>
        </is>
      </c>
      <c r="C24" s="31" t="inlineStr">
        <is>
          <t>Murray</t>
        </is>
      </c>
      <c r="D24" s="28" t="inlineStr">
        <is>
          <t>Click Here</t>
        </is>
      </c>
      <c r="E24" s="40" t="inlineStr">
        <is>
          <t>NA</t>
        </is>
      </c>
      <c r="F24" s="40" t="inlineStr">
        <is>
          <t>NA</t>
        </is>
      </c>
      <c r="G24" s="40" t="inlineStr">
        <is>
          <t>CSR</t>
        </is>
      </c>
      <c r="H24" s="31" t="inlineStr">
        <is>
          <t>10+</t>
        </is>
      </c>
      <c r="I24" s="40" t="inlineStr">
        <is>
          <t>Answered</t>
        </is>
      </c>
      <c r="J24" s="40" t="inlineStr">
        <is>
          <t>Lance</t>
        </is>
      </c>
      <c r="K24" s="31" t="inlineStr">
        <is>
          <t>No</t>
        </is>
      </c>
      <c r="L24" s="40" t="inlineStr">
        <is>
          <t>Interested</t>
        </is>
      </c>
      <c r="M24" s="40" t="inlineStr">
        <is>
          <t>Operations/System</t>
        </is>
      </c>
      <c r="N24" s="40" t="inlineStr">
        <is>
          <t xml:space="preserve">This one went way better than I expected. I actually had more of a conversation with the CSR's, and I'm getting to a point where I'm getting the CSRs very interested. I just want to figure out now how I can get them from interested to "Holy shit, let me just patch you over right now!" This seems really important. </t>
        </is>
      </c>
      <c r="O24" s="40" t="inlineStr">
        <is>
          <t>NA</t>
        </is>
      </c>
      <c r="P24" s="40" t="n"/>
      <c r="Q24" s="40" t="inlineStr">
        <is>
          <t>Moderate</t>
        </is>
      </c>
      <c r="R24" s="40" t="inlineStr">
        <is>
          <t>Moderate</t>
        </is>
      </c>
      <c r="S24" s="40" t="inlineStr">
        <is>
          <t>Severe</t>
        </is>
      </c>
      <c r="T24" s="40" t="inlineStr">
        <is>
          <t>Moderate</t>
        </is>
      </c>
      <c r="U24" s="40" t="inlineStr">
        <is>
          <t xml:space="preserve">You see, this one, I'm getting better with the company paying none, really, except none that I could see, and that's probably because after he told me that he had an AI already, I kinda just diverted from trying to sell the AI robot, to talking about how we install AI infrastructure to increase business valuation at a 7x to 8x EBITDA earnings, and after I did that, he seemed extremely interested and was like, "All right, let me take down your information, and I will just have the owner call you." </t>
        </is>
      </c>
      <c r="V24" s="29">
        <f>IFERROR(ROUND((IF(Q24="Severe",4,IF(Q24="Moderate",3,IF(Q24="Minor",2,0)))+IF(R24="Severe",4,IF(R24="Moderate",3,IF(R24="Minor",2,0)))+IF(S24="Severe",4,IF(S24="Moderate",3,IF(S24="Minor",2,0)))+IF(T24="Severe",4,IF(T24="Moderate",3,IF(T24="Minor",2,0))))/16*100,0),"")</f>
        <v/>
      </c>
      <c r="W24" s="31" t="inlineStr">
        <is>
          <t>Later</t>
        </is>
      </c>
      <c r="X24" s="40" t="inlineStr">
        <is>
          <t>None Yet</t>
        </is>
      </c>
      <c r="Y24" s="40" t="inlineStr">
        <is>
          <t xml:space="preserve">I choked up instead of asking more clarifying questions about what their AI does. I converted over into how we install AI infrastructure to increase business valuation. I could have done better on asking questions to see if Roger can compete with their AI that they have, or if their AI is literally just basic conversation having from GHL, or something. </t>
        </is>
      </c>
      <c r="Z24" s="40" t="inlineStr">
        <is>
          <t>Call Back</t>
        </is>
      </c>
      <c r="AA24" s="30">
        <f>IFERROR(ROUND(IF(H24&gt;=10,30,IF(H24&gt;=5,20,IF(H24&gt;=2,10,0)))+IF(K24="Yes",20,IF(K24="Unsure",10,0))+IF(W24="Yes",30,IF(W24="Later",15,0))+IFERROR(V24/100*20,0)+IF(L24="Interested",15,IF(L24="Open But Busy",10,IF(L24="Neutral",5,0))),0),"")</f>
        <v/>
      </c>
      <c r="AB24" s="31">
        <f>IFERROR(IF(AA24&gt;=80,"🔥 HOT",IF(AA24&gt;=60,"✅ STRONG",IF(AA24&gt;=40,"⚡ WARM",IF(AA24&gt;=20,"📋 NURTURE",IF(AA24&gt;0,"❌ COLD",""))))),"")</f>
        <v/>
      </c>
      <c r="AC24" s="31">
        <f>IFERROR(IF(AND(AA24&gt;=60,OR(W24="Yes",W24="Later")),"🚨 URGENT",IF(AND(AA24&gt;=40,I24="Call Back"),"📞 CALL BACK",IF(I24="Booked Meeting","📅 BOOKED",IF(I24="Not Interested","🚫 DEAD","⏳ WORKING")))),"")</f>
        <v/>
      </c>
      <c r="AD24" s="40" t="inlineStr">
        <is>
          <t>04/17/2026@10:11am</t>
        </is>
      </c>
      <c r="AE24" s="38" t="n">
        <v>46132</v>
      </c>
      <c r="AF24" s="33">
        <f>IFERROR(IF(AE24="","",AE24-TODAY()),"")</f>
        <v/>
      </c>
      <c r="AG24" s="40" t="inlineStr">
        <is>
          <t>Kristopher</t>
        </is>
      </c>
    </row>
    <row r="25" ht="19.5" customHeight="1" s="105">
      <c r="A25" s="44" t="inlineStr">
        <is>
          <t>Home Performance Pros</t>
        </is>
      </c>
      <c r="B25" s="23" t="inlineStr">
        <is>
          <t>(385)503-7767</t>
        </is>
      </c>
      <c r="C25" s="23" t="inlineStr">
        <is>
          <t>Murray</t>
        </is>
      </c>
      <c r="D25" s="20" t="inlineStr">
        <is>
          <t>Click Here</t>
        </is>
      </c>
      <c r="E25" s="44" t="inlineStr">
        <is>
          <t>NA</t>
        </is>
      </c>
      <c r="F25" s="44" t="inlineStr">
        <is>
          <t>NA</t>
        </is>
      </c>
      <c r="G25" s="44" t="inlineStr">
        <is>
          <t>CSR</t>
        </is>
      </c>
      <c r="H25" s="23" t="inlineStr">
        <is>
          <t>NA</t>
        </is>
      </c>
      <c r="I25" s="44" t="inlineStr">
        <is>
          <t>Answered</t>
        </is>
      </c>
      <c r="J25" s="44" t="inlineStr">
        <is>
          <t>Jared</t>
        </is>
      </c>
      <c r="K25" s="23" t="inlineStr">
        <is>
          <t>No</t>
        </is>
      </c>
      <c r="L25" s="44" t="inlineStr">
        <is>
          <t>Hostile</t>
        </is>
      </c>
      <c r="M25" s="44" t="inlineStr">
        <is>
          <t>Training</t>
        </is>
      </c>
      <c r="N25" s="44" t="inlineStr">
        <is>
          <t xml:space="preserve">So a guy named Jared answered the phone, hit them with my opener, coffee and doughnuts, and he's like, "Well, absolutely, what's this regarding?" And that's when I told him, "Well, Jared, let me ask you a quick question: when a call comes in at 10:00 PM, what happens?" And he hung up on me, and so, me, being me, I called back, went straight to their AI, and their AI is pretty freaking dope. Not gonna lie. </t>
        </is>
      </c>
      <c r="O25" s="44" t="inlineStr">
        <is>
          <t>NA</t>
        </is>
      </c>
      <c r="P25" s="44" t="n"/>
      <c r="Q25" s="44" t="inlineStr">
        <is>
          <t>Moderate</t>
        </is>
      </c>
      <c r="R25" s="44" t="inlineStr">
        <is>
          <t>Moderate</t>
        </is>
      </c>
      <c r="S25" s="44" t="inlineStr">
        <is>
          <t>Minor</t>
        </is>
      </c>
      <c r="T25" s="44" t="inlineStr">
        <is>
          <t>Moderate</t>
        </is>
      </c>
      <c r="U25" s="44" t="inlineStr">
        <is>
          <t>First thing I'd have to say is their training for their team has to be garbage because what business owner has taught their CSRs to just hang up the phone</t>
        </is>
      </c>
      <c r="V25" s="21">
        <f>IFERROR(ROUND((IF(Q25="Severe",4,IF(Q25="Moderate",3,IF(Q25="Minor",2,0)))+IF(R25="Severe",4,IF(R25="Moderate",3,IF(R25="Minor",2,0)))+IF(S25="Severe",4,IF(S25="Moderate",3,IF(S25="Minor",2,0)))+IF(T25="Severe",4,IF(T25="Moderate",3,IF(T25="Minor",2,0))))/16*100,0),"")</f>
        <v/>
      </c>
      <c r="W25" s="23" t="inlineStr">
        <is>
          <t>Later</t>
        </is>
      </c>
      <c r="X25" s="44" t="inlineStr">
        <is>
          <t>None Yet</t>
        </is>
      </c>
      <c r="Y25" s="44" t="inlineStr">
        <is>
          <t>Well, in the conversation that we had, really, was just one-sided, mostly my part, as I kept talking, and he just hung up. But what blows my mind is because with everybody else, I just kept talking, they stayed on the phone, so I think honestly, he just really didn't know what he was supposed to do.</t>
        </is>
      </c>
      <c r="Z25" s="44" t="inlineStr">
        <is>
          <t>Call Back</t>
        </is>
      </c>
      <c r="AA25" s="22">
        <f>IFERROR(ROUND(IF(H25&gt;=10,30,IF(H25&gt;=5,20,IF(H25&gt;=2,10,0)))+IF(K25="Yes",20,IF(K25="Unsure",10,0))+IF(W25="Yes",30,IF(W25="Later",15,0))+IFERROR(V25/100*20,0)+IF(L25="Interested",15,IF(L25="Open But Busy",10,IF(L25="Neutral",5,0))),0),"")</f>
        <v/>
      </c>
      <c r="AB25" s="23">
        <f>IFERROR(IF(AA25&gt;=80,"🔥 HOT",IF(AA25&gt;=60,"✅ STRONG",IF(AA25&gt;=40,"⚡ WARM",IF(AA25&gt;=20,"📋 NURTURE",IF(AA25&gt;0,"❌ COLD",""))))),"")</f>
        <v/>
      </c>
      <c r="AC25" s="23">
        <f>IFERROR(IF(AND(AA25&gt;=60,OR(W25="Yes",W25="Later")),"🚨 URGENT",IF(AND(AA25&gt;=40,I25="Call Back"),"📞 CALL BACK",IF(I25="Booked Meeting","📅 BOOKED",IF(I25="Not Interested","🚫 DEAD","⏳ WORKING")))),"")</f>
        <v/>
      </c>
      <c r="AD25" s="44" t="inlineStr">
        <is>
          <t>04/17/2026@10:30am</t>
        </is>
      </c>
      <c r="AE25" s="37" t="n"/>
      <c r="AF25" s="25">
        <f>IFERROR(IF(AE25="","",AE25-TODAY()),"")</f>
        <v/>
      </c>
      <c r="AG25" s="40" t="inlineStr">
        <is>
          <t>Kristopher</t>
        </is>
      </c>
    </row>
    <row r="26" ht="19.5" customHeight="1" s="105">
      <c r="A26" s="40" t="inlineStr">
        <is>
          <t>Apex Clean Air AC &amp; Heating Repair</t>
        </is>
      </c>
      <c r="B26" s="31" t="inlineStr">
        <is>
          <t>(801)396-8959</t>
        </is>
      </c>
      <c r="C26" s="31" t="inlineStr">
        <is>
          <t>Salt Lake City</t>
        </is>
      </c>
      <c r="D26" s="28" t="inlineStr">
        <is>
          <t>Click Here</t>
        </is>
      </c>
      <c r="E26" s="40" t="inlineStr">
        <is>
          <t>Mike</t>
        </is>
      </c>
      <c r="F26" s="40" t="inlineStr">
        <is>
          <t>utah@apexcleanair.com</t>
        </is>
      </c>
      <c r="G26" s="40" t="inlineStr">
        <is>
          <t>CSR</t>
        </is>
      </c>
      <c r="H26" s="31" t="inlineStr">
        <is>
          <t>NA</t>
        </is>
      </c>
      <c r="I26" s="40" t="inlineStr">
        <is>
          <t>Answered</t>
        </is>
      </c>
      <c r="J26" s="40" t="inlineStr">
        <is>
          <t>Breanne</t>
        </is>
      </c>
      <c r="K26" s="31" t="inlineStr">
        <is>
          <t>Yes</t>
        </is>
      </c>
      <c r="L26" s="40" t="inlineStr">
        <is>
          <t>Interested</t>
        </is>
      </c>
      <c r="M26" s="40" t="inlineStr">
        <is>
          <t>Scheduling</t>
        </is>
      </c>
      <c r="N26" s="40" t="inlineStr">
        <is>
          <t>So I just talked to Brianne, and she said that she doesn't really know the owner's schedule, which honestly makes sense, because if she's the CSS, you know, I'd like to really be able to get over that objection, because it's something like that, I mean, what the fuck do you say to that? Oh, okay, well, all I really need is 15 minutes, is he nearby? I don't even know what the hell to say to that, so I was just like, "Okay, yeah," what's his email, what's his name, what's your name? And that's where we're at.</t>
        </is>
      </c>
      <c r="O26" s="40" t="inlineStr">
        <is>
          <t>NA</t>
        </is>
      </c>
      <c r="P26" s="40" t="n"/>
      <c r="Q26" s="40" t="inlineStr">
        <is>
          <t>Moderate</t>
        </is>
      </c>
      <c r="R26" s="40" t="inlineStr">
        <is>
          <t>Moderate</t>
        </is>
      </c>
      <c r="S26" s="40" t="inlineStr">
        <is>
          <t>Severe</t>
        </is>
      </c>
      <c r="T26" s="40" t="inlineStr">
        <is>
          <t>Moderate</t>
        </is>
      </c>
      <c r="U26" s="40" t="inlineStr">
        <is>
          <t xml:space="preserve">The first thing I noticed was that they have an old legacy system that says press 1 to be connected to HVAC, press 2 to be connected to plumbing, so press 0 if you're unsure. That's old as fuck, outdated, they need a roger. </t>
        </is>
      </c>
      <c r="V26" s="29">
        <f>IFERROR(ROUND((IF(Q26="Severe",4,IF(Q26="Moderate",3,IF(Q26="Minor",2,0)))+IF(R26="Severe",4,IF(R26="Moderate",3,IF(R26="Minor",2,0)))+IF(S26="Severe",4,IF(S26="Moderate",3,IF(S26="Minor",2,0)))+IF(T26="Severe",4,IF(T26="Moderate",3,IF(T26="Minor",2,0))))/16*100,0),"")</f>
        <v/>
      </c>
      <c r="W26" s="31" t="inlineStr">
        <is>
          <t>Later</t>
        </is>
      </c>
      <c r="X26" s="40" t="inlineStr">
        <is>
          <t>None Yet</t>
        </is>
      </c>
      <c r="Y26" s="40" t="inlineStr">
        <is>
          <t xml:space="preserve">The first thing I noticed was that they have an old legacy system that says press 1 to be connected to HVAC, press 2 to be connected to plumbing, so press 0 if you're unsure. That's old as fuck, outdated, they need a roger. </t>
        </is>
      </c>
      <c r="Z26" s="40" t="inlineStr">
        <is>
          <t>Call Back</t>
        </is>
      </c>
      <c r="AA26" s="30">
        <f>IFERROR(ROUND(IF(H26&gt;=10,30,IF(H26&gt;=5,20,IF(H26&gt;=2,10,0)))+IF(K26="Yes",20,IF(K26="Unsure",10,0))+IF(W26="Yes",30,IF(W26="Later",15,0))+IFERROR(V26/100*20,0)+IF(L26="Interested",15,IF(L26="Open But Busy",10,IF(L26="Neutral",5,0))),0),"")</f>
        <v/>
      </c>
      <c r="AB26" s="31">
        <f>IFERROR(IF(AA26&gt;=80,"🔥 HOT",IF(AA26&gt;=60,"✅ STRONG",IF(AA26&gt;=40,"⚡ WARM",IF(AA26&gt;=20,"📋 NURTURE",IF(AA26&gt;0,"❌ COLD",""))))),"")</f>
        <v/>
      </c>
      <c r="AC26" s="31">
        <f>IFERROR(IF(AND(AA26&gt;=60,OR(W26="Yes",W26="Later")),"🚨 URGENT",IF(AND(AA26&gt;=40,I26="Call Back"),"📞 CALL BACK",IF(I26="Booked Meeting","📅 BOOKED",IF(I26="Not Interested","🚫 DEAD","⏳ WORKING")))),"")</f>
        <v/>
      </c>
      <c r="AD26" s="40" t="inlineStr">
        <is>
          <t>04/17/2026@10:39am</t>
        </is>
      </c>
      <c r="AE26" s="38" t="n"/>
      <c r="AF26" s="33">
        <f>IFERROR(IF(AE26="","",AE26-TODAY()),"")</f>
        <v/>
      </c>
      <c r="AG26" s="40" t="inlineStr">
        <is>
          <t>Kristopher</t>
        </is>
      </c>
    </row>
    <row r="27" ht="19.5" customHeight="1" s="105">
      <c r="A27" s="44" t="inlineStr">
        <is>
          <t>Manwill Plumbing Heating &amp; Air</t>
        </is>
      </c>
      <c r="B27" s="23" t="inlineStr">
        <is>
          <t>(801)262-4671</t>
        </is>
      </c>
      <c r="C27" s="23" t="inlineStr">
        <is>
          <t>Salt Lake City</t>
        </is>
      </c>
      <c r="D27" s="20" t="inlineStr">
        <is>
          <t>Click Here</t>
        </is>
      </c>
      <c r="E27" s="44" t="inlineStr">
        <is>
          <t>Bryan</t>
        </is>
      </c>
      <c r="F27" s="44" t="inlineStr">
        <is>
          <t>JBJackson@Manwillhvac.com</t>
        </is>
      </c>
      <c r="G27" s="44" t="inlineStr">
        <is>
          <t>Installer</t>
        </is>
      </c>
      <c r="H27" s="23" t="inlineStr">
        <is>
          <t>NA</t>
        </is>
      </c>
      <c r="I27" s="44" t="inlineStr">
        <is>
          <t>Answered</t>
        </is>
      </c>
      <c r="J27" s="44" t="inlineStr">
        <is>
          <t>Jessie</t>
        </is>
      </c>
      <c r="K27" s="23" t="inlineStr">
        <is>
          <t>Yes</t>
        </is>
      </c>
      <c r="L27" s="44" t="inlineStr">
        <is>
          <t>Open But Busy</t>
        </is>
      </c>
      <c r="M27" s="44" t="inlineStr">
        <is>
          <t>Operations/System</t>
        </is>
      </c>
      <c r="N27" s="44" t="inlineStr">
        <is>
          <t xml:space="preserve">So I spoke to Jessie, and he was like, "Right after I hit him with that opener, well, man, thank you so much, that's awesome of you." By the way, who am I even talking to? And then you know, we got bullshitting, and I found out he was an installer, and I've been doing it for like 30 years, and way too damn long is what I said, and we laughed. And from there, we went into, and he's like, "I can just send you to his voicemail if you want," and then I was like, "That'd be perfect." Also, man, while I got you on the phone, let me ask you real quick, what actually happens to a call that comes in after 10 o'clock at night? And Jessie said, "Well, it goes to our call center, and from the call center, they put it on our technicians' calendars and stuff," which I'm assuming is expensive AF. Roger, already can cut the cost of that tremendously, and guess what, it's all in house, </t>
        </is>
      </c>
      <c r="O27" s="44" t="inlineStr">
        <is>
          <t>NA</t>
        </is>
      </c>
      <c r="P27" s="44" t="n"/>
      <c r="Q27" s="44" t="inlineStr">
        <is>
          <t>Minor</t>
        </is>
      </c>
      <c r="R27" s="44" t="inlineStr">
        <is>
          <t>None</t>
        </is>
      </c>
      <c r="S27" s="44" t="inlineStr">
        <is>
          <t>Severe</t>
        </is>
      </c>
      <c r="T27" s="44" t="inlineStr">
        <is>
          <t>Minor</t>
        </is>
      </c>
      <c r="U27" s="44" t="inlineStr">
        <is>
          <t>No Ai and Outsourcing after Hour calls to a call center</t>
        </is>
      </c>
      <c r="V27" s="21">
        <f>IFERROR(ROUND((IF(Q27="Severe",4,IF(Q27="Moderate",3,IF(Q27="Minor",2,0)))+IF(R27="Severe",4,IF(R27="Moderate",3,IF(R27="Minor",2,0)))+IF(S27="Severe",4,IF(S27="Moderate",3,IF(S27="Minor",2,0)))+IF(T27="Severe",4,IF(T27="Moderate",3,IF(T27="Minor",2,0))))/16*100,0),"")</f>
        <v/>
      </c>
      <c r="W27" s="23" t="inlineStr">
        <is>
          <t>Later</t>
        </is>
      </c>
      <c r="X27" s="44" t="inlineStr">
        <is>
          <t>None Yet</t>
        </is>
      </c>
      <c r="Y27" s="44" t="inlineStr">
        <is>
          <t>None patched me to owner and we were crackin up laughin</t>
        </is>
      </c>
      <c r="Z27" s="44" t="inlineStr">
        <is>
          <t>Call Back</t>
        </is>
      </c>
      <c r="AA27" s="22">
        <f>IFERROR(ROUND(IF(H27&gt;=10,30,IF(H27&gt;=5,20,IF(H27&gt;=2,10,0)))+IF(K27="Yes",20,IF(K27="Unsure",10,0))+IF(W27="Yes",30,IF(W27="Later",15,0))+IFERROR(V27/100*20,0)+IF(L27="Interested",15,IF(L27="Open But Busy",10,IF(L27="Neutral",5,0))),0),"")</f>
        <v/>
      </c>
      <c r="AB27" s="23">
        <f>IFERROR(IF(AA27&gt;=80,"🔥 HOT",IF(AA27&gt;=60,"✅ STRONG",IF(AA27&gt;=40,"⚡ WARM",IF(AA27&gt;=20,"📋 NURTURE",IF(AA27&gt;0,"❌ COLD",""))))),"")</f>
        <v/>
      </c>
      <c r="AC27" s="23">
        <f>IFERROR(IF(AND(AA27&gt;=60,OR(W27="Yes",W27="Later")),"🚨 URGENT",IF(AND(AA27&gt;=40,I27="Call Back"),"📞 CALL BACK",IF(I27="Booked Meeting","📅 BOOKED",IF(I27="Not Interested","🚫 DEAD","⏳ WORKING")))),"")</f>
        <v/>
      </c>
      <c r="AD27" s="44" t="inlineStr">
        <is>
          <t>04/17/2026@10:45am</t>
        </is>
      </c>
      <c r="AE27" s="37" t="n"/>
      <c r="AF27" s="25">
        <f>IFERROR(IF(AE27="","",AE27-TODAY()),"")</f>
        <v/>
      </c>
      <c r="AG27" s="40" t="inlineStr">
        <is>
          <t>Kristopher</t>
        </is>
      </c>
    </row>
    <row r="28" ht="19.5" customHeight="1" s="105">
      <c r="A28" s="40" t="inlineStr">
        <is>
          <t>Affordable Heating &amp; Cooling</t>
        </is>
      </c>
      <c r="B28" s="31" t="inlineStr">
        <is>
          <t>(801)261-0924</t>
        </is>
      </c>
      <c r="C28" s="31" t="inlineStr">
        <is>
          <t>Salt Lake City</t>
        </is>
      </c>
      <c r="D28" s="28" t="inlineStr">
        <is>
          <t>Click Here</t>
        </is>
      </c>
      <c r="E28" s="40" t="inlineStr">
        <is>
          <t>NA</t>
        </is>
      </c>
      <c r="F28" s="40" t="inlineStr">
        <is>
          <t>NA</t>
        </is>
      </c>
      <c r="G28" s="40" t="inlineStr">
        <is>
          <t>CSR</t>
        </is>
      </c>
      <c r="H28" s="31" t="inlineStr">
        <is>
          <t>NA</t>
        </is>
      </c>
      <c r="I28" s="40" t="inlineStr">
        <is>
          <t>Answered</t>
        </is>
      </c>
      <c r="J28" s="40" t="inlineStr">
        <is>
          <t>Savannah</t>
        </is>
      </c>
      <c r="K28" s="31" t="inlineStr">
        <is>
          <t>No</t>
        </is>
      </c>
      <c r="L28" s="40" t="inlineStr">
        <is>
          <t>Not Interested</t>
        </is>
      </c>
      <c r="M28" s="40" t="inlineStr">
        <is>
          <t>No Clear Pain Point</t>
        </is>
      </c>
      <c r="N28" s="40" t="inlineStr">
        <is>
          <t>Definitely messed up on that one — said "Wasatch County" when I meant to say "Wasatch Front". Don't know why I did that, but I did it</t>
        </is>
      </c>
      <c r="O28" s="39" t="inlineStr">
        <is>
          <t>affodable Heating &amp; Air Cold Call.m4a</t>
        </is>
      </c>
      <c r="P28" s="39" t="inlineStr">
        <is>
          <t>affodable Heating &amp; Air Cold Call.docx</t>
        </is>
      </c>
      <c r="Q28" s="40" t="inlineStr">
        <is>
          <t>Minor</t>
        </is>
      </c>
      <c r="R28" s="40" t="inlineStr">
        <is>
          <t>Minor</t>
        </is>
      </c>
      <c r="S28" s="40" t="inlineStr">
        <is>
          <t>Severe</t>
        </is>
      </c>
      <c r="T28" s="40" t="inlineStr">
        <is>
          <t>Minor</t>
        </is>
      </c>
      <c r="U28" s="40" t="inlineStr">
        <is>
          <t>My words got mixxed</t>
        </is>
      </c>
      <c r="V28" s="29">
        <f>IFERROR(ROUND((IF(Q28="Severe",4,IF(Q28="Moderate",3,IF(Q28="Minor",2,0)))+IF(R28="Severe",4,IF(R28="Moderate",3,IF(R28="Minor",2,0)))+IF(S28="Severe",4,IF(S28="Moderate",3,IF(S28="Minor",2,0)))+IF(T28="Severe",4,IF(T28="Moderate",3,IF(T28="Minor",2,0))))/16*100,0),"")</f>
        <v/>
      </c>
      <c r="W28" s="31" t="inlineStr">
        <is>
          <t>No</t>
        </is>
      </c>
      <c r="X28" s="40" t="inlineStr">
        <is>
          <t>None Yet</t>
        </is>
      </c>
      <c r="Y28" s="40" t="inlineStr">
        <is>
          <t>Not interested</t>
        </is>
      </c>
      <c r="Z28" s="40" t="inlineStr">
        <is>
          <t>Call Back</t>
        </is>
      </c>
      <c r="AA28" s="30">
        <f>IFERROR(ROUND(IF(H28&gt;=10,30,IF(H28&gt;=5,20,IF(H28&gt;=2,10,0)))+IF(K28="Yes",20,IF(K28="Unsure",10,0))+IF(W28="Yes",30,IF(W28="Later",15,0))+IFERROR(V28/100*20,0)+IF(L28="Interested",15,IF(L28="Open But Busy",10,IF(L28="Neutral",5,0))),0),"")</f>
        <v/>
      </c>
      <c r="AB28" s="31">
        <f>IFERROR(IF(AA28&gt;=80,"🔥 HOT",IF(AA28&gt;=60,"✅ STRONG",IF(AA28&gt;=40,"⚡ WARM",IF(AA28&gt;=20,"📋 NURTURE",IF(AA28&gt;0,"❌ COLD",""))))),"")</f>
        <v/>
      </c>
      <c r="AC28" s="31">
        <f>IFERROR(IF(AND(AA28&gt;=60,OR(W28="Yes",W28="Later")),"🚨 URGENT",IF(AND(AA28&gt;=40,I28="Call Back"),"📞 CALL BACK",IF(I28="Booked Meeting","📅 BOOKED",IF(I28="Not Interested","🚫 DEAD","⏳ WORKING")))),"")</f>
        <v/>
      </c>
      <c r="AD28" s="40" t="inlineStr">
        <is>
          <t>04/17/2026@11:47am</t>
        </is>
      </c>
      <c r="AE28" s="38" t="n"/>
      <c r="AF28" s="33">
        <f>IFERROR(IF(AE28="","",AE28-TODAY()),"")</f>
        <v/>
      </c>
      <c r="AG28" s="40" t="inlineStr">
        <is>
          <t>Kristopher</t>
        </is>
      </c>
    </row>
    <row r="29" ht="19.5" customHeight="1" s="105">
      <c r="A29" s="44" t="inlineStr">
        <is>
          <t>I Know A Guy HVAC</t>
        </is>
      </c>
      <c r="B29" s="23" t="inlineStr">
        <is>
          <t>(385)455-4700</t>
        </is>
      </c>
      <c r="C29" s="23" t="inlineStr">
        <is>
          <t>Salt Lake City</t>
        </is>
      </c>
      <c r="D29" s="20" t="inlineStr">
        <is>
          <t>Click Here</t>
        </is>
      </c>
      <c r="E29" s="44" t="inlineStr">
        <is>
          <t>Brandon &amp; Dustin</t>
        </is>
      </c>
      <c r="F29" s="44" t="inlineStr">
        <is>
          <t>NA</t>
        </is>
      </c>
      <c r="G29" s="44" t="inlineStr">
        <is>
          <t>CSR</t>
        </is>
      </c>
      <c r="H29" s="23" t="inlineStr">
        <is>
          <t>NA</t>
        </is>
      </c>
      <c r="I29" s="44" t="inlineStr">
        <is>
          <t>Answered</t>
        </is>
      </c>
      <c r="J29" s="44" t="inlineStr">
        <is>
          <t>Shey</t>
        </is>
      </c>
      <c r="K29" s="23" t="inlineStr">
        <is>
          <t>No</t>
        </is>
      </c>
      <c r="L29" s="44" t="inlineStr">
        <is>
          <t>Open But Busy</t>
        </is>
      </c>
      <c r="M29" s="44" t="inlineStr">
        <is>
          <t>Operations/System</t>
        </is>
      </c>
      <c r="N29" s="44" t="inlineStr">
        <is>
          <t>Well I knew that Gal Because I used to work there and also her Boyfriend and i used to hang out together</t>
        </is>
      </c>
      <c r="O29" s="44" t="inlineStr">
        <is>
          <t>NA</t>
        </is>
      </c>
      <c r="P29" s="44" t="inlineStr">
        <is>
          <t>NA</t>
        </is>
      </c>
      <c r="Q29" s="44" t="inlineStr">
        <is>
          <t>Severe</t>
        </is>
      </c>
      <c r="R29" s="44" t="inlineStr">
        <is>
          <t>Severe</t>
        </is>
      </c>
      <c r="S29" s="44" t="inlineStr">
        <is>
          <t>Severe</t>
        </is>
      </c>
      <c r="T29" s="44" t="inlineStr">
        <is>
          <t>Moderate</t>
        </is>
      </c>
      <c r="U29" s="44" t="inlineStr">
        <is>
          <t>Well I know these guys used to work there they have no system in place Communication is a joke and they want retrofits but mostly do New Construction</t>
        </is>
      </c>
      <c r="V29" s="21">
        <f>IFERROR(ROUND((IF(Q29="Severe",4,IF(Q29="Moderate",3,IF(Q29="Minor",2,0)))+IF(R29="Severe",4,IF(R29="Moderate",3,IF(R29="Minor",2,0)))+IF(S29="Severe",4,IF(S29="Moderate",3,IF(S29="Minor",2,0)))+IF(T29="Severe",4,IF(T29="Moderate",3,IF(T29="Minor",2,0))))/16*100,0),"")</f>
        <v/>
      </c>
      <c r="W29" s="23" t="inlineStr">
        <is>
          <t>Later</t>
        </is>
      </c>
      <c r="X29" s="44" t="inlineStr">
        <is>
          <t>None Yet</t>
        </is>
      </c>
      <c r="Y29" s="44" t="inlineStr">
        <is>
          <t>None they wanted to know how I was Doing</t>
        </is>
      </c>
      <c r="Z29" s="44" t="inlineStr">
        <is>
          <t>Call Back</t>
        </is>
      </c>
      <c r="AA29" s="22">
        <f>IFERROR(ROUND(IF(H29&gt;=10,30,IF(H29&gt;=5,20,IF(H29&gt;=2,10,0)))+IF(K29="Yes",20,IF(K29="Unsure",10,0))+IF(W29="Yes",30,IF(W29="Later",15,0))+IFERROR(V29/100*20,0)+IF(L29="Interested",15,IF(L29="Open But Busy",10,IF(L29="Neutral",5,0))),0),"")</f>
        <v/>
      </c>
      <c r="AB29" s="23">
        <f>IFERROR(IF(AA29&gt;=80,"🔥 HOT",IF(AA29&gt;=60,"✅ STRONG",IF(AA29&gt;=40,"⚡ WARM",IF(AA29&gt;=20,"📋 NURTURE",IF(AA29&gt;0,"❌ COLD",""))))),"")</f>
        <v/>
      </c>
      <c r="AC29" s="23">
        <f>IFERROR(IF(AND(AA29&gt;=60,OR(W29="Yes",W29="Later")),"🚨 URGENT",IF(AND(AA29&gt;=40,I29="Call Back"),"📞 CALL BACK",IF(I29="Booked Meeting","📅 BOOKED",IF(I29="Not Interested","🚫 DEAD","⏳ WORKING")))),"")</f>
        <v/>
      </c>
      <c r="AD29" s="44" t="inlineStr">
        <is>
          <t>04/17/2026@12:09pm</t>
        </is>
      </c>
      <c r="AE29" s="37" t="n"/>
      <c r="AF29" s="25">
        <f>IFERROR(IF(AE29="","",AE29-TODAY()),"")</f>
        <v/>
      </c>
      <c r="AG29" s="40" t="inlineStr">
        <is>
          <t>Kristopher</t>
        </is>
      </c>
    </row>
    <row r="30" ht="19.5" customHeight="1" s="105">
      <c r="A30" s="40" t="inlineStr">
        <is>
          <t>SOS Heating &amp; Cooling</t>
        </is>
      </c>
      <c r="B30" s="31" t="inlineStr">
        <is>
          <t>(801)890-3577</t>
        </is>
      </c>
      <c r="C30" s="31" t="inlineStr">
        <is>
          <t>Salt Lake City</t>
        </is>
      </c>
      <c r="D30" s="28" t="inlineStr">
        <is>
          <t>Click Here</t>
        </is>
      </c>
      <c r="E30" s="40" t="inlineStr">
        <is>
          <t>Greyson &amp; Jason</t>
        </is>
      </c>
      <c r="F30" s="40" t="inlineStr">
        <is>
          <t>NA</t>
        </is>
      </c>
      <c r="G30" s="40" t="inlineStr">
        <is>
          <t>CSR</t>
        </is>
      </c>
      <c r="H30" s="31" t="inlineStr">
        <is>
          <t>NA</t>
        </is>
      </c>
      <c r="I30" s="40" t="inlineStr">
        <is>
          <t>Answered</t>
        </is>
      </c>
      <c r="J30" s="40" t="inlineStr">
        <is>
          <t>Ashley</t>
        </is>
      </c>
      <c r="K30" s="31" t="inlineStr">
        <is>
          <t>No</t>
        </is>
      </c>
      <c r="L30" s="40" t="inlineStr">
        <is>
          <t>Interested</t>
        </is>
      </c>
      <c r="M30" s="40" t="inlineStr">
        <is>
          <t>Operations/System</t>
        </is>
      </c>
      <c r="N30" s="40" t="n"/>
      <c r="O30" s="41" t="inlineStr">
        <is>
          <t>S.O.S Heating &amp; Cooling.m4a</t>
        </is>
      </c>
      <c r="P30" s="39" t="inlineStr">
        <is>
          <t>S.O.S Heating &amp; Cooling.docx</t>
        </is>
      </c>
      <c r="Q30" s="40" t="n"/>
      <c r="R30" s="40" t="n"/>
      <c r="S30" s="40" t="n"/>
      <c r="T30" s="40" t="n"/>
      <c r="U30" s="40" t="n"/>
      <c r="V30" s="29">
        <f>IFERROR(ROUND((IF(Q30="Severe",4,IF(Q30="Moderate",3,IF(Q30="Minor",2,0)))+IF(R30="Severe",4,IF(R30="Moderate",3,IF(R30="Minor",2,0)))+IF(S30="Severe",4,IF(S30="Moderate",3,IF(S30="Minor",2,0)))+IF(T30="Severe",4,IF(T30="Moderate",3,IF(T30="Minor",2,0))))/16*100,0),"")</f>
        <v/>
      </c>
      <c r="W30" s="31" t="n"/>
      <c r="X30" s="40" t="n"/>
      <c r="Y30" s="40" t="n"/>
      <c r="Z30" s="40" t="n"/>
      <c r="AA30" s="30">
        <f>IFERROR(ROUND(IF(H30&gt;=10,30,IF(H30&gt;=5,20,IF(H30&gt;=2,10,0)))+IF(K30="Yes",20,IF(K30="Unsure",10,0))+IF(W30="Yes",30,IF(W30="Later",15,0))+IFERROR(V30/100*20,0)+IF(L30="Interested",15,IF(L30="Open But Busy",10,IF(L30="Neutral",5,0))),0),"")</f>
        <v/>
      </c>
      <c r="AB30" s="31">
        <f>IFERROR(IF(AA30&gt;=80,"🔥 HOT",IF(AA30&gt;=60,"✅ STRONG",IF(AA30&gt;=40,"⚡ WARM",IF(AA30&gt;=20,"📋 NURTURE",IF(AA30&gt;0,"❌ COLD",""))))),"")</f>
        <v/>
      </c>
      <c r="AC30" s="31">
        <f>IFERROR(IF(AND(AA30&gt;=60,OR(W30="Yes",W30="Later")),"🚨 URGENT",IF(AND(AA30&gt;=40,I30="Call Back"),"📞 CALL BACK",IF(I30="Booked Meeting","📅 BOOKED",IF(I30="Not Interested","🚫 DEAD","⏳ WORKING")))),"")</f>
        <v/>
      </c>
      <c r="AD30" s="42" t="n"/>
      <c r="AE30" s="38" t="n"/>
      <c r="AF30" s="33">
        <f>IFERROR(IF(AE30="","",AE30-TODAY()),"")</f>
        <v/>
      </c>
      <c r="AG30" s="40" t="inlineStr">
        <is>
          <t>Kristopher</t>
        </is>
      </c>
    </row>
    <row r="31" ht="19.5" customHeight="1" s="105">
      <c r="A31" s="44" t="inlineStr">
        <is>
          <t>Bee Hive Heating &amp; Air</t>
        </is>
      </c>
      <c r="B31" s="23" t="inlineStr">
        <is>
          <t>(801)618-1195</t>
        </is>
      </c>
      <c r="C31" s="23" t="inlineStr">
        <is>
          <t>Salt Lake City</t>
        </is>
      </c>
      <c r="D31" s="20" t="inlineStr">
        <is>
          <t>Click Here</t>
        </is>
      </c>
      <c r="E31" s="44" t="inlineStr">
        <is>
          <t>NA</t>
        </is>
      </c>
      <c r="F31" s="44" t="inlineStr">
        <is>
          <t>NA</t>
        </is>
      </c>
      <c r="G31" s="44" t="inlineStr">
        <is>
          <t>CCR</t>
        </is>
      </c>
      <c r="H31" s="23" t="inlineStr">
        <is>
          <t>NA</t>
        </is>
      </c>
      <c r="I31" s="44" t="inlineStr">
        <is>
          <t>Answered</t>
        </is>
      </c>
      <c r="J31" s="44" t="inlineStr">
        <is>
          <t>Logan</t>
        </is>
      </c>
      <c r="K31" s="23" t="inlineStr">
        <is>
          <t>No</t>
        </is>
      </c>
      <c r="L31" s="44" t="inlineStr">
        <is>
          <t>Neutral</t>
        </is>
      </c>
      <c r="M31" s="44" t="inlineStr">
        <is>
          <t>Operations/System</t>
        </is>
      </c>
      <c r="N31" s="44" t="inlineStr">
        <is>
          <t>Call Center Picked up</t>
        </is>
      </c>
      <c r="O31" s="43" t="inlineStr">
        <is>
          <t>Beehive Plumbing HVAC.m4a</t>
        </is>
      </c>
      <c r="P31" s="43" t="inlineStr">
        <is>
          <t>Beehive Plumbing HVAC.docx</t>
        </is>
      </c>
      <c r="Q31" s="44" t="n"/>
      <c r="R31" s="44" t="n"/>
      <c r="S31" s="44" t="n"/>
      <c r="T31" s="44" t="n"/>
      <c r="U31" s="44" t="n"/>
      <c r="V31" s="21">
        <f>IFERROR(ROUND((IF(Q31="Severe",4,IF(Q31="Moderate",3,IF(Q31="Minor",2,0)))+IF(R31="Severe",4,IF(R31="Moderate",3,IF(R31="Minor",2,0)))+IF(S31="Severe",4,IF(S31="Moderate",3,IF(S31="Minor",2,0)))+IF(T31="Severe",4,IF(T31="Moderate",3,IF(T31="Minor",2,0))))/16*100,0),"")</f>
        <v/>
      </c>
      <c r="W31" s="23" t="n"/>
      <c r="X31" s="44" t="n"/>
      <c r="Y31" s="44" t="n"/>
      <c r="Z31" s="44" t="n"/>
      <c r="AA31" s="22">
        <f>IFERROR(ROUND(IF(H31&gt;=10,30,IF(H31&gt;=5,20,IF(H31&gt;=2,10,0)))+IF(K31="Yes",20,IF(K31="Unsure",10,0))+IF(W31="Yes",30,IF(W31="Later",15,0))+IFERROR(V31/100*20,0)+IF(L31="Interested",15,IF(L31="Open But Busy",10,IF(L31="Neutral",5,0))),0),"")</f>
        <v/>
      </c>
      <c r="AB31" s="23">
        <f>IFERROR(IF(AA31&gt;=80,"🔥 HOT",IF(AA31&gt;=60,"✅ STRONG",IF(AA31&gt;=40,"⚡ WARM",IF(AA31&gt;=20,"📋 NURTURE",IF(AA31&gt;0,"❌ COLD",""))))),"")</f>
        <v/>
      </c>
      <c r="AC31" s="23">
        <f>IFERROR(IF(AND(AA31&gt;=60,OR(W31="Yes",W31="Later")),"🚨 URGENT",IF(AND(AA31&gt;=40,I31="Call Back"),"📞 CALL BACK",IF(I31="Booked Meeting","📅 BOOKED",IF(I31="Not Interested","🚫 DEAD","⏳ WORKING")))),"")</f>
        <v/>
      </c>
      <c r="AD31" s="45" t="n"/>
      <c r="AE31" s="37" t="n"/>
      <c r="AF31" s="25">
        <f>IFERROR(IF(AE31="","",AE31-TODAY()),"")</f>
        <v/>
      </c>
      <c r="AG31" s="40" t="inlineStr">
        <is>
          <t>Kristopher</t>
        </is>
      </c>
    </row>
    <row r="32" ht="19.5" customHeight="1" s="105">
      <c r="A32" s="40" t="inlineStr">
        <is>
          <t>Jones Heating &amp; Air</t>
        </is>
      </c>
      <c r="B32" s="31" t="inlineStr">
        <is>
          <t>(801)972-8557</t>
        </is>
      </c>
      <c r="C32" s="31" t="inlineStr">
        <is>
          <t>West Valley City</t>
        </is>
      </c>
      <c r="D32" s="28" t="inlineStr">
        <is>
          <t>Click Here</t>
        </is>
      </c>
      <c r="E32" s="40" t="inlineStr">
        <is>
          <t>Djon</t>
        </is>
      </c>
      <c r="F32" s="40" t="inlineStr">
        <is>
          <t>NA</t>
        </is>
      </c>
      <c r="G32" s="40" t="inlineStr">
        <is>
          <t>CSR</t>
        </is>
      </c>
      <c r="H32" s="31" t="inlineStr">
        <is>
          <t>NA</t>
        </is>
      </c>
      <c r="I32" s="40" t="inlineStr">
        <is>
          <t>Answered</t>
        </is>
      </c>
      <c r="J32" s="40" t="inlineStr">
        <is>
          <t>Christine</t>
        </is>
      </c>
      <c r="K32" s="31" t="inlineStr">
        <is>
          <t>No</t>
        </is>
      </c>
      <c r="L32" s="40" t="inlineStr">
        <is>
          <t>Open But Busy</t>
        </is>
      </c>
      <c r="M32" s="40" t="inlineStr">
        <is>
          <t>Operations/System</t>
        </is>
      </c>
      <c r="N32" s="40" t="inlineStr">
        <is>
          <t>Owner out of town and will be back next week</t>
        </is>
      </c>
      <c r="O32" s="39" t="inlineStr">
        <is>
          <t>Jones Heating &amp; Air.m4a</t>
        </is>
      </c>
      <c r="P32" s="39" t="inlineStr">
        <is>
          <t>Jones Heating &amp; Air.docx</t>
        </is>
      </c>
      <c r="Q32" s="40" t="n"/>
      <c r="R32" s="40" t="n"/>
      <c r="S32" s="40" t="n"/>
      <c r="T32" s="40" t="n"/>
      <c r="U32" s="40" t="n"/>
      <c r="V32" s="29">
        <f>IFERROR(ROUND((IF(Q32="Severe",4,IF(Q32="Moderate",3,IF(Q32="Minor",2,0)))+IF(R32="Severe",4,IF(R32="Moderate",3,IF(R32="Minor",2,0)))+IF(S32="Severe",4,IF(S32="Moderate",3,IF(S32="Minor",2,0)))+IF(T32="Severe",4,IF(T32="Moderate",3,IF(T32="Minor",2,0))))/16*100,0),"")</f>
        <v/>
      </c>
      <c r="W32" s="31" t="n"/>
      <c r="X32" s="40" t="n"/>
      <c r="Y32" s="40" t="n"/>
      <c r="Z32" s="40" t="n"/>
      <c r="AA32" s="30">
        <f>IFERROR(ROUND(IF(H32&gt;=10,30,IF(H32&gt;=5,20,IF(H32&gt;=2,10,0)))+IF(K32="Yes",20,IF(K32="Unsure",10,0))+IF(W32="Yes",30,IF(W32="Later",15,0))+IFERROR(V32/100*20,0)+IF(L32="Interested",15,IF(L32="Open But Busy",10,IF(L32="Neutral",5,0))),0),"")</f>
        <v/>
      </c>
      <c r="AB32" s="31">
        <f>IFERROR(IF(AA32&gt;=80,"🔥 HOT",IF(AA32&gt;=60,"✅ STRONG",IF(AA32&gt;=40,"⚡ WARM",IF(AA32&gt;=20,"📋 NURTURE",IF(AA32&gt;0,"❌ COLD",""))))),"")</f>
        <v/>
      </c>
      <c r="AC32" s="31">
        <f>IFERROR(IF(AND(AA32&gt;=60,OR(W32="Yes",W32="Later")),"🚨 URGENT",IF(AND(AA32&gt;=40,I32="Call Back"),"📞 CALL BACK",IF(I32="Booked Meeting","📅 BOOKED",IF(I32="Not Interested","🚫 DEAD","⏳ WORKING")))),"")</f>
        <v/>
      </c>
      <c r="AD32" s="42" t="n"/>
      <c r="AE32" s="38" t="n"/>
      <c r="AF32" s="33">
        <f>IFERROR(IF(AE32="","",AE32-TODAY()),"")</f>
        <v/>
      </c>
      <c r="AG32" s="40" t="inlineStr">
        <is>
          <t>Kristopher</t>
        </is>
      </c>
    </row>
    <row r="33" ht="19.5" customHeight="1" s="105">
      <c r="A33" s="44" t="inlineStr">
        <is>
          <t>Same Day Heating &amp; Air</t>
        </is>
      </c>
      <c r="B33" s="23" t="inlineStr">
        <is>
          <t>(801)297-1654</t>
        </is>
      </c>
      <c r="C33" s="23" t="inlineStr">
        <is>
          <t>Salt Lake City</t>
        </is>
      </c>
      <c r="D33" s="20" t="inlineStr">
        <is>
          <t>Click Here</t>
        </is>
      </c>
      <c r="E33" s="44" t="inlineStr">
        <is>
          <t>NA</t>
        </is>
      </c>
      <c r="F33" s="44" t="inlineStr">
        <is>
          <t>NA</t>
        </is>
      </c>
      <c r="G33" s="44" t="inlineStr">
        <is>
          <t>CSR</t>
        </is>
      </c>
      <c r="H33" s="23" t="inlineStr">
        <is>
          <t>NA</t>
        </is>
      </c>
      <c r="I33" s="44" t="inlineStr">
        <is>
          <t>Answered</t>
        </is>
      </c>
      <c r="J33" s="44" t="inlineStr">
        <is>
          <t>Robert</t>
        </is>
      </c>
      <c r="K33" s="23" t="inlineStr">
        <is>
          <t>No</t>
        </is>
      </c>
      <c r="L33" s="44" t="inlineStr">
        <is>
          <t>Open But Busy</t>
        </is>
      </c>
      <c r="M33" s="44" t="inlineStr">
        <is>
          <t>Operations/System</t>
        </is>
      </c>
      <c r="N33" s="44" t="inlineStr">
        <is>
          <t>Scheduled for monday</t>
        </is>
      </c>
      <c r="O33" s="43" t="inlineStr">
        <is>
          <t>Whipple Service Champions.m4a</t>
        </is>
      </c>
      <c r="P33" s="43" t="inlineStr">
        <is>
          <t>Whipple Service Champions.docx</t>
        </is>
      </c>
      <c r="Q33" s="44" t="n"/>
      <c r="R33" s="44" t="n"/>
      <c r="S33" s="44" t="n"/>
      <c r="T33" s="44" t="n"/>
      <c r="U33" s="44" t="n"/>
      <c r="V33" s="21">
        <f>IFERROR(ROUND((IF(Q33="Severe",4,IF(Q33="Moderate",3,IF(Q33="Minor",2,0)))+IF(R33="Severe",4,IF(R33="Moderate",3,IF(R33="Minor",2,0)))+IF(S33="Severe",4,IF(S33="Moderate",3,IF(S33="Minor",2,0)))+IF(T33="Severe",4,IF(T33="Moderate",3,IF(T33="Minor",2,0))))/16*100,0),"")</f>
        <v/>
      </c>
      <c r="W33" s="23" t="n"/>
      <c r="X33" s="44" t="n"/>
      <c r="Y33" s="44" t="n"/>
      <c r="Z33" s="44" t="n"/>
      <c r="AA33" s="22">
        <f>IFERROR(ROUND(IF(H33&gt;=10,30,IF(H33&gt;=5,20,IF(H33&gt;=2,10,0)))+IF(K33="Yes",20,IF(K33="Unsure",10,0))+IF(W33="Yes",30,IF(W33="Later",15,0))+IFERROR(V33/100*20,0)+IF(L33="Interested",15,IF(L33="Open But Busy",10,IF(L33="Neutral",5,0))),0),"")</f>
        <v/>
      </c>
      <c r="AB33" s="23">
        <f>IFERROR(IF(AA33&gt;=80,"🔥 HOT",IF(AA33&gt;=60,"✅ STRONG",IF(AA33&gt;=40,"⚡ WARM",IF(AA33&gt;=20,"📋 NURTURE",IF(AA33&gt;0,"❌ COLD",""))))),"")</f>
        <v/>
      </c>
      <c r="AC33" s="23">
        <f>IFERROR(IF(AND(AA33&gt;=60,OR(W33="Yes",W33="Later")),"🚨 URGENT",IF(AND(AA33&gt;=40,I33="Call Back"),"📞 CALL BACK",IF(I33="Booked Meeting","📅 BOOKED",IF(I33="Not Interested","🚫 DEAD","⏳ WORKING")))),"")</f>
        <v/>
      </c>
      <c r="AD33" s="45" t="n"/>
      <c r="AE33" s="37" t="n"/>
      <c r="AF33" s="25">
        <f>IFERROR(IF(AE33="","",AE33-TODAY()),"")</f>
        <v/>
      </c>
      <c r="AG33" s="40" t="inlineStr">
        <is>
          <t>Kristopher</t>
        </is>
      </c>
    </row>
    <row r="34" ht="19.5" customHeight="1" s="105">
      <c r="A34" s="40" t="inlineStr">
        <is>
          <t>Whipple Service Champions</t>
        </is>
      </c>
      <c r="B34" s="31" t="inlineStr">
        <is>
          <t>(801)214-1515</t>
        </is>
      </c>
      <c r="C34" s="31" t="inlineStr">
        <is>
          <t>West Valley City</t>
        </is>
      </c>
      <c r="D34" s="28" t="inlineStr">
        <is>
          <t>Click Here</t>
        </is>
      </c>
      <c r="E34" s="40" t="inlineStr">
        <is>
          <t>NA</t>
        </is>
      </c>
      <c r="F34" s="40" t="inlineStr">
        <is>
          <t>NA</t>
        </is>
      </c>
      <c r="G34" s="40" t="inlineStr">
        <is>
          <t>Manager</t>
        </is>
      </c>
      <c r="H34" s="31" t="inlineStr">
        <is>
          <t>NA</t>
        </is>
      </c>
      <c r="I34" s="40" t="inlineStr">
        <is>
          <t>Answered</t>
        </is>
      </c>
      <c r="J34" s="40" t="inlineStr">
        <is>
          <t>Lester Acola</t>
        </is>
      </c>
      <c r="K34" s="31" t="n"/>
      <c r="L34" s="40" t="n"/>
      <c r="M34" s="40" t="n"/>
      <c r="N34" s="40" t="n"/>
      <c r="O34" s="40" t="n"/>
      <c r="P34" s="40" t="n"/>
      <c r="Q34" s="40" t="n"/>
      <c r="R34" s="40" t="n"/>
      <c r="S34" s="40" t="n"/>
      <c r="T34" s="40" t="n"/>
      <c r="U34" s="40" t="n"/>
      <c r="V34" s="29">
        <f>IFERROR(ROUND((IF(Q34="Severe",4,IF(Q34="Moderate",3,IF(Q34="Minor",2,0)))+IF(R34="Severe",4,IF(R34="Moderate",3,IF(R34="Minor",2,0)))+IF(S34="Severe",4,IF(S34="Moderate",3,IF(S34="Minor",2,0)))+IF(T34="Severe",4,IF(T34="Moderate",3,IF(T34="Minor",2,0))))/16*100,0),"")</f>
        <v/>
      </c>
      <c r="W34" s="31" t="n"/>
      <c r="X34" s="40" t="n"/>
      <c r="Y34" s="40" t="n"/>
      <c r="Z34" s="40" t="n"/>
      <c r="AA34" s="30">
        <f>IFERROR(ROUND(IF(H34&gt;=10,30,IF(H34&gt;=5,20,IF(H34&gt;=2,10,0)))+IF(K34="Yes",20,IF(K34="Unsure",10,0))+IF(W34="Yes",30,IF(W34="Later",15,0))+IFERROR(V34/100*20,0)+IF(L34="Interested",15,IF(L34="Open But Busy",10,IF(L34="Neutral",5,0))),0),"")</f>
        <v/>
      </c>
      <c r="AB34" s="31">
        <f>IFERROR(IF(AA34&gt;=80,"🔥 HOT",IF(AA34&gt;=60,"✅ STRONG",IF(AA34&gt;=40,"⚡ WARM",IF(AA34&gt;=20,"📋 NURTURE",IF(AA34&gt;0,"❌ COLD",""))))),"")</f>
        <v/>
      </c>
      <c r="AC34" s="31">
        <f>IFERROR(IF(AND(AA34&gt;=60,OR(W34="Yes",W34="Later")),"🚨 URGENT",IF(AND(AA34&gt;=40,I34="Call Back"),"📞 CALL BACK",IF(I34="Booked Meeting","📅 BOOKED",IF(I34="Not Interested","🚫 DEAD","⏳ WORKING")))),"")</f>
        <v/>
      </c>
      <c r="AD34" s="42" t="n"/>
      <c r="AE34" s="38" t="n"/>
      <c r="AF34" s="33">
        <f>IFERROR(IF(AE34="","",AE34-TODAY()),"")</f>
        <v/>
      </c>
      <c r="AG34" s="40" t="inlineStr">
        <is>
          <t>Kristopher</t>
        </is>
      </c>
    </row>
    <row r="35" ht="19.5" customHeight="1" s="105">
      <c r="A35" s="44" t="inlineStr">
        <is>
          <t>Select Comfort Systems</t>
        </is>
      </c>
      <c r="B35" s="23" t="inlineStr">
        <is>
          <t>(801)969-7088</t>
        </is>
      </c>
      <c r="C35" s="23" t="inlineStr">
        <is>
          <t>West Valley City</t>
        </is>
      </c>
      <c r="D35" s="20" t="inlineStr">
        <is>
          <t>Click Here</t>
        </is>
      </c>
      <c r="E35" s="44" t="inlineStr">
        <is>
          <t>NA</t>
        </is>
      </c>
      <c r="F35" s="44" t="inlineStr">
        <is>
          <t>NA</t>
        </is>
      </c>
      <c r="G35" s="44" t="inlineStr">
        <is>
          <t>Office Manager/Owners Wife</t>
        </is>
      </c>
      <c r="H35" s="23" t="n">
        <v>2</v>
      </c>
      <c r="I35" s="44" t="inlineStr">
        <is>
          <t>Answered</t>
        </is>
      </c>
      <c r="J35" s="44" t="inlineStr">
        <is>
          <t>Lisa B.</t>
        </is>
      </c>
      <c r="K35" s="23" t="n"/>
      <c r="L35" s="44" t="n"/>
      <c r="M35" s="44" t="n"/>
      <c r="N35" s="44" t="n"/>
      <c r="O35" s="44" t="n"/>
      <c r="P35" s="44" t="n"/>
      <c r="Q35" s="44" t="n"/>
      <c r="R35" s="44" t="n"/>
      <c r="S35" s="44" t="n"/>
      <c r="T35" s="44" t="n"/>
      <c r="U35" s="44" t="n"/>
      <c r="V35" s="21">
        <f>IFERROR(ROUND((IF(Q35="Severe",4,IF(Q35="Moderate",3,IF(Q35="Minor",2,0)))+IF(R35="Severe",4,IF(R35="Moderate",3,IF(R35="Minor",2,0)))+IF(S35="Severe",4,IF(S35="Moderate",3,IF(S35="Minor",2,0)))+IF(T35="Severe",4,IF(T35="Moderate",3,IF(T35="Minor",2,0))))/16*100,0),"")</f>
        <v/>
      </c>
      <c r="W35" s="23" t="n"/>
      <c r="X35" s="44" t="n"/>
      <c r="Y35" s="44" t="n"/>
      <c r="Z35" s="44" t="n"/>
      <c r="AA35" s="22">
        <f>IFERROR(ROUND(IF(H35&gt;=10,30,IF(H35&gt;=5,20,IF(H35&gt;=2,10,0)))+IF(K35="Yes",20,IF(K35="Unsure",10,0))+IF(W35="Yes",30,IF(W35="Later",15,0))+IFERROR(V35/100*20,0)+IF(L35="Interested",15,IF(L35="Open But Busy",10,IF(L35="Neutral",5,0))),0),"")</f>
        <v/>
      </c>
      <c r="AB35" s="23">
        <f>IFERROR(IF(AA35&gt;=80,"🔥 HOT",IF(AA35&gt;=60,"✅ STRONG",IF(AA35&gt;=40,"⚡ WARM",IF(AA35&gt;=20,"📋 NURTURE",IF(AA35&gt;0,"❌ COLD",""))))),"")</f>
        <v/>
      </c>
      <c r="AC35" s="23">
        <f>IFERROR(IF(AND(AA35&gt;=60,OR(W35="Yes",W35="Later")),"🚨 URGENT",IF(AND(AA35&gt;=40,I35="Call Back"),"📞 CALL BACK",IF(I35="Booked Meeting","📅 BOOKED",IF(I35="Not Interested","🚫 DEAD","⏳ WORKING")))),"")</f>
        <v/>
      </c>
      <c r="AD35" s="45" t="n"/>
      <c r="AE35" s="37" t="n"/>
      <c r="AF35" s="25">
        <f>IFERROR(IF(AE35="","",AE35-TODAY()),"")</f>
        <v/>
      </c>
      <c r="AG35" s="40" t="inlineStr">
        <is>
          <t>Kristopher</t>
        </is>
      </c>
    </row>
    <row r="36" ht="19.5" customHeight="1" s="105">
      <c r="A36" s="40" t="inlineStr">
        <is>
          <t>Perform Plumbing Heating &amp; Air</t>
        </is>
      </c>
      <c r="B36" s="31" t="inlineStr">
        <is>
          <t>(385)330-2720</t>
        </is>
      </c>
      <c r="C36" s="31" t="inlineStr">
        <is>
          <t>West Valley City</t>
        </is>
      </c>
      <c r="D36" s="28" t="inlineStr">
        <is>
          <t>Click Here</t>
        </is>
      </c>
      <c r="E36" s="40" t="inlineStr">
        <is>
          <t>NA</t>
        </is>
      </c>
      <c r="F36" s="40" t="inlineStr">
        <is>
          <t>Performhac@AskNpartners.com</t>
        </is>
      </c>
      <c r="G36" s="40" t="n"/>
      <c r="H36" s="31" t="inlineStr">
        <is>
          <t>NA</t>
        </is>
      </c>
      <c r="I36" s="40" t="inlineStr">
        <is>
          <t>Answered</t>
        </is>
      </c>
      <c r="J36" s="40" t="inlineStr">
        <is>
          <t>NA</t>
        </is>
      </c>
      <c r="K36" s="31" t="n"/>
      <c r="L36" s="40" t="n"/>
      <c r="M36" s="40" t="n"/>
      <c r="N36" s="40" t="n"/>
      <c r="O36" s="40" t="n"/>
      <c r="P36" s="40" t="n"/>
      <c r="Q36" s="40" t="n"/>
      <c r="R36" s="40" t="n"/>
      <c r="S36" s="40" t="n"/>
      <c r="T36" s="40" t="n"/>
      <c r="U36" s="40" t="n"/>
      <c r="V36" s="29">
        <f>IFERROR(ROUND((IF(Q36="Severe",4,IF(Q36="Moderate",3,IF(Q36="Minor",2,0)))+IF(R36="Severe",4,IF(R36="Moderate",3,IF(R36="Minor",2,0)))+IF(S36="Severe",4,IF(S36="Moderate",3,IF(S36="Minor",2,0)))+IF(T36="Severe",4,IF(T36="Moderate",3,IF(T36="Minor",2,0))))/16*100,0),"")</f>
        <v/>
      </c>
      <c r="W36" s="31" t="n"/>
      <c r="X36" s="40" t="n"/>
      <c r="Y36" s="40" t="n"/>
      <c r="Z36" s="40" t="n"/>
      <c r="AA36" s="30">
        <f>IFERROR(ROUND(IF(H36&gt;=10,30,IF(H36&gt;=5,20,IF(H36&gt;=2,10,0)))+IF(K36="Yes",20,IF(K36="Unsure",10,0))+IF(W36="Yes",30,IF(W36="Later",15,0))+IFERROR(V36/100*20,0)+IF(L36="Interested",15,IF(L36="Open But Busy",10,IF(L36="Neutral",5,0))),0),"")</f>
        <v/>
      </c>
      <c r="AB36" s="31">
        <f>IFERROR(IF(AA36&gt;=80,"🔥 HOT",IF(AA36&gt;=60,"✅ STRONG",IF(AA36&gt;=40,"⚡ WARM",IF(AA36&gt;=20,"📋 NURTURE",IF(AA36&gt;0,"❌ COLD",""))))),"")</f>
        <v/>
      </c>
      <c r="AC36" s="31">
        <f>IFERROR(IF(AND(AA36&gt;=60,OR(W36="Yes",W36="Later")),"🚨 URGENT",IF(AND(AA36&gt;=40,I36="Call Back"),"📞 CALL BACK",IF(I36="Booked Meeting","📅 BOOKED",IF(I36="Not Interested","🚫 DEAD","⏳ WORKING")))),"")</f>
        <v/>
      </c>
      <c r="AD36" s="42" t="n"/>
      <c r="AE36" s="38" t="n"/>
      <c r="AF36" s="33">
        <f>IFERROR(IF(AE36="","",AE36-TODAY()),"")</f>
        <v/>
      </c>
      <c r="AG36" s="40" t="inlineStr">
        <is>
          <t>Kristopher</t>
        </is>
      </c>
    </row>
    <row r="37" ht="19.5" customHeight="1" s="105">
      <c r="A37" s="44" t="inlineStr">
        <is>
          <t>Mace Heating &amp; Air</t>
        </is>
      </c>
      <c r="B37" s="23" t="inlineStr">
        <is>
          <t>(801)654-0273</t>
        </is>
      </c>
      <c r="C37" s="23" t="inlineStr">
        <is>
          <t>Taylorsville</t>
        </is>
      </c>
      <c r="D37" s="20" t="inlineStr">
        <is>
          <t>Click Here</t>
        </is>
      </c>
      <c r="E37" s="44" t="inlineStr">
        <is>
          <t>NA</t>
        </is>
      </c>
      <c r="F37" s="44" t="inlineStr">
        <is>
          <t>NA</t>
        </is>
      </c>
      <c r="G37" s="44" t="inlineStr">
        <is>
          <t>Owner</t>
        </is>
      </c>
      <c r="H37" s="23" t="inlineStr">
        <is>
          <t>NA</t>
        </is>
      </c>
      <c r="I37" s="44" t="inlineStr">
        <is>
          <t>Answered</t>
        </is>
      </c>
      <c r="J37" s="44" t="inlineStr">
        <is>
          <t>Sean</t>
        </is>
      </c>
      <c r="K37" s="23" t="n"/>
      <c r="L37" s="44" t="n"/>
      <c r="M37" s="44" t="n"/>
      <c r="N37" s="44" t="n"/>
      <c r="O37" s="44" t="n"/>
      <c r="P37" s="44" t="n"/>
      <c r="Q37" s="44" t="n"/>
      <c r="R37" s="44" t="n"/>
      <c r="S37" s="44" t="n"/>
      <c r="T37" s="44" t="n"/>
      <c r="U37" s="44" t="n"/>
      <c r="V37" s="21">
        <f>IFERROR(ROUND((IF(Q37="Severe",4,IF(Q37="Moderate",3,IF(Q37="Minor",2,0)))+IF(R37="Severe",4,IF(R37="Moderate",3,IF(R37="Minor",2,0)))+IF(S37="Severe",4,IF(S37="Moderate",3,IF(S37="Minor",2,0)))+IF(T37="Severe",4,IF(T37="Moderate",3,IF(T37="Minor",2,0))))/16*100,0),"")</f>
        <v/>
      </c>
      <c r="W37" s="23" t="n"/>
      <c r="X37" s="44" t="n"/>
      <c r="Y37" s="44" t="n"/>
      <c r="Z37" s="44" t="n"/>
      <c r="AA37" s="22">
        <f>IFERROR(ROUND(IF(H37&gt;=10,30,IF(H37&gt;=5,20,IF(H37&gt;=2,10,0)))+IF(K37="Yes",20,IF(K37="Unsure",10,0))+IF(W37="Yes",30,IF(W37="Later",15,0))+IFERROR(V37/100*20,0)+IF(L37="Interested",15,IF(L37="Open But Busy",10,IF(L37="Neutral",5,0))),0),"")</f>
        <v/>
      </c>
      <c r="AB37" s="23">
        <f>IFERROR(IF(AA37&gt;=80,"🔥 HOT",IF(AA37&gt;=60,"✅ STRONG",IF(AA37&gt;=40,"⚡ WARM",IF(AA37&gt;=20,"📋 NURTURE",IF(AA37&gt;0,"❌ COLD",""))))),"")</f>
        <v/>
      </c>
      <c r="AC37" s="23">
        <f>IFERROR(IF(AND(AA37&gt;=60,OR(W37="Yes",W37="Later")),"🚨 URGENT",IF(AND(AA37&gt;=40,I37="Call Back"),"📞 CALL BACK",IF(I37="Booked Meeting","📅 BOOKED",IF(I37="Not Interested","🚫 DEAD","⏳ WORKING")))),"")</f>
        <v/>
      </c>
      <c r="AD37" s="45" t="n"/>
      <c r="AE37" s="37" t="n"/>
      <c r="AF37" s="25">
        <f>IFERROR(IF(AE37="","",AE37-TODAY()),"")</f>
        <v/>
      </c>
      <c r="AG37" s="40" t="inlineStr">
        <is>
          <t>Kristopher</t>
        </is>
      </c>
    </row>
    <row r="38" ht="19.5" customHeight="1" s="105">
      <c r="A38" s="40" t="inlineStr">
        <is>
          <t>Superior Water &amp; Air</t>
        </is>
      </c>
      <c r="B38" s="31" t="inlineStr">
        <is>
          <t>(801)438-4795</t>
        </is>
      </c>
      <c r="C38" s="31" t="inlineStr">
        <is>
          <t>Salt Lake City</t>
        </is>
      </c>
      <c r="D38" s="28" t="inlineStr">
        <is>
          <t>Click Here</t>
        </is>
      </c>
      <c r="E38" s="40" t="inlineStr">
        <is>
          <t>Superior Tem</t>
        </is>
      </c>
      <c r="F38" s="40" t="inlineStr">
        <is>
          <t>contact@superiorwaterandair</t>
        </is>
      </c>
      <c r="G38" s="40" t="inlineStr">
        <is>
          <t>CSR</t>
        </is>
      </c>
      <c r="H38" s="31" t="n">
        <v>19</v>
      </c>
      <c r="I38" s="40" t="inlineStr">
        <is>
          <t>Answered</t>
        </is>
      </c>
      <c r="J38" s="40" t="inlineStr">
        <is>
          <t>Isac</t>
        </is>
      </c>
      <c r="K38" s="31" t="n"/>
      <c r="L38" s="40" t="n"/>
      <c r="M38" s="40" t="n"/>
      <c r="N38" s="40" t="n"/>
      <c r="O38" s="40" t="n"/>
      <c r="P38" s="40" t="n"/>
      <c r="Q38" s="40" t="n"/>
      <c r="R38" s="40" t="n"/>
      <c r="S38" s="40" t="n"/>
      <c r="T38" s="40" t="n"/>
      <c r="U38" s="40" t="n"/>
      <c r="V38" s="29">
        <f>IFERROR(ROUND((IF(Q38="Severe",4,IF(Q38="Moderate",3,IF(Q38="Minor",2,0)))+IF(R38="Severe",4,IF(R38="Moderate",3,IF(R38="Minor",2,0)))+IF(S38="Severe",4,IF(S38="Moderate",3,IF(S38="Minor",2,0)))+IF(T38="Severe",4,IF(T38="Moderate",3,IF(T38="Minor",2,0))))/16*100,0),"")</f>
        <v/>
      </c>
      <c r="W38" s="31" t="n"/>
      <c r="X38" s="40" t="n"/>
      <c r="Y38" s="40" t="n"/>
      <c r="Z38" s="40" t="n"/>
      <c r="AA38" s="30">
        <f>IFERROR(ROUND(IF(H38&gt;=10,30,IF(H38&gt;=5,20,IF(H38&gt;=2,10,0)))+IF(K38="Yes",20,IF(K38="Unsure",10,0))+IF(W38="Yes",30,IF(W38="Later",15,0))+IFERROR(V38/100*20,0)+IF(L38="Interested",15,IF(L38="Open But Busy",10,IF(L38="Neutral",5,0))),0),"")</f>
        <v/>
      </c>
      <c r="AB38" s="31">
        <f>IFERROR(IF(AA38&gt;=80,"🔥 HOT",IF(AA38&gt;=60,"✅ STRONG",IF(AA38&gt;=40,"⚡ WARM",IF(AA38&gt;=20,"📋 NURTURE",IF(AA38&gt;0,"❌ COLD",""))))),"")</f>
        <v/>
      </c>
      <c r="AC38" s="31">
        <f>IFERROR(IF(AND(AA38&gt;=60,OR(W38="Yes",W38="Later")),"🚨 URGENT",IF(AND(AA38&gt;=40,I38="Call Back"),"📞 CALL BACK",IF(I38="Booked Meeting","📅 BOOKED",IF(I38="Not Interested","🚫 DEAD","⏳ WORKING")))),"")</f>
        <v/>
      </c>
      <c r="AD38" s="42" t="n"/>
      <c r="AE38" s="38" t="n"/>
      <c r="AF38" s="33">
        <f>IFERROR(IF(AE38="","",AE38-TODAY()),"")</f>
        <v/>
      </c>
      <c r="AG38" s="40" t="inlineStr">
        <is>
          <t>Kristopher</t>
        </is>
      </c>
    </row>
    <row r="39" ht="19.5" customHeight="1" s="105">
      <c r="A39" s="44" t="inlineStr">
        <is>
          <t>True HVAC LLC</t>
        </is>
      </c>
      <c r="B39" s="23" t="inlineStr">
        <is>
          <t>(801)410-6009</t>
        </is>
      </c>
      <c r="C39" s="23" t="inlineStr">
        <is>
          <t>West Valley City</t>
        </is>
      </c>
      <c r="D39" s="20" t="inlineStr">
        <is>
          <t>Click Here</t>
        </is>
      </c>
      <c r="E39" s="44" t="n"/>
      <c r="F39" s="44" t="n"/>
      <c r="G39" s="44" t="n"/>
      <c r="H39" s="23" t="n"/>
      <c r="I39" s="44" t="inlineStr">
        <is>
          <t>Call Back</t>
        </is>
      </c>
      <c r="J39" s="44" t="n"/>
      <c r="K39" s="23" t="n"/>
      <c r="L39" s="44" t="n"/>
      <c r="M39" s="44" t="n"/>
      <c r="N39" s="44" t="n"/>
      <c r="O39" s="44" t="n"/>
      <c r="P39" s="44" t="n"/>
      <c r="Q39" s="44" t="n"/>
      <c r="R39" s="44" t="n"/>
      <c r="S39" s="44" t="n"/>
      <c r="T39" s="44" t="n"/>
      <c r="U39" s="44" t="n"/>
      <c r="V39" s="21">
        <f>IFERROR(ROUND((IF(Q39="Severe",4,IF(Q39="Moderate",3,IF(Q39="Minor",2,0)))+IF(R39="Severe",4,IF(R39="Moderate",3,IF(R39="Minor",2,0)))+IF(S39="Severe",4,IF(S39="Moderate",3,IF(S39="Minor",2,0)))+IF(T39="Severe",4,IF(T39="Moderate",3,IF(T39="Minor",2,0))))/16*100,0),"")</f>
        <v/>
      </c>
      <c r="W39" s="23" t="n"/>
      <c r="X39" s="44" t="n"/>
      <c r="Y39" s="44" t="n"/>
      <c r="Z39" s="44" t="n"/>
      <c r="AA39" s="22">
        <f>IFERROR(ROUND(IF(H39&gt;=10,30,IF(H39&gt;=5,20,IF(H39&gt;=2,10,0)))+IF(K39="Yes",20,IF(K39="Unsure",10,0))+IF(W39="Yes",30,IF(W39="Later",15,0))+IFERROR(V39/100*20,0)+IF(L39="Interested",15,IF(L39="Open But Busy",10,IF(L39="Neutral",5,0))),0),"")</f>
        <v/>
      </c>
      <c r="AB39" s="23">
        <f>IFERROR(IF(AA39&gt;=80,"🔥 HOT",IF(AA39&gt;=60,"✅ STRONG",IF(AA39&gt;=40,"⚡ WARM",IF(AA39&gt;=20,"📋 NURTURE",IF(AA39&gt;0,"❌ COLD",""))))),"")</f>
        <v/>
      </c>
      <c r="AC39" s="23">
        <f>IFERROR(IF(AND(AA39&gt;=60,OR(W39="Yes",W39="Later")),"🚨 URGENT",IF(AND(AA39&gt;=40,I39="Call Back"),"📞 CALL BACK",IF(I39="Booked Meeting","📅 BOOKED",IF(I39="Not Interested","🚫 DEAD","⏳ WORKING")))),"")</f>
        <v/>
      </c>
      <c r="AD39" s="45" t="n"/>
      <c r="AE39" s="37" t="n"/>
      <c r="AF39" s="25">
        <f>IFERROR(IF(AE39="","",AE39-TODAY()),"")</f>
        <v/>
      </c>
      <c r="AG39" s="40" t="inlineStr">
        <is>
          <t>Kristopher</t>
        </is>
      </c>
    </row>
    <row r="40" ht="19.5" customHeight="1" s="105">
      <c r="A40" s="40" t="inlineStr">
        <is>
          <t>Superior HVAC</t>
        </is>
      </c>
      <c r="B40" s="31" t="inlineStr">
        <is>
          <t>(385)443-4813</t>
        </is>
      </c>
      <c r="C40" s="31" t="inlineStr">
        <is>
          <t>West Valley City</t>
        </is>
      </c>
      <c r="D40" s="28" t="inlineStr">
        <is>
          <t>Click Here</t>
        </is>
      </c>
      <c r="E40" s="40" t="n"/>
      <c r="F40" s="40" t="n"/>
      <c r="G40" s="40" t="n"/>
      <c r="H40" s="31" t="n"/>
      <c r="I40" s="40" t="n"/>
      <c r="J40" s="40" t="n"/>
      <c r="K40" s="31" t="n"/>
      <c r="L40" s="40" t="n"/>
      <c r="M40" s="40" t="n"/>
      <c r="N40" s="40" t="n"/>
      <c r="O40" s="40" t="n"/>
      <c r="P40" s="40" t="n"/>
      <c r="Q40" s="40" t="n"/>
      <c r="R40" s="40" t="n"/>
      <c r="S40" s="40" t="n"/>
      <c r="T40" s="40" t="n"/>
      <c r="U40" s="40" t="n"/>
      <c r="V40" s="29">
        <f>IFERROR(ROUND((IF(Q40="Severe",4,IF(Q40="Moderate",3,IF(Q40="Minor",2,0)))+IF(R40="Severe",4,IF(R40="Moderate",3,IF(R40="Minor",2,0)))+IF(S40="Severe",4,IF(S40="Moderate",3,IF(S40="Minor",2,0)))+IF(T40="Severe",4,IF(T40="Moderate",3,IF(T40="Minor",2,0))))/16*100,0),"")</f>
        <v/>
      </c>
      <c r="W40" s="31" t="n"/>
      <c r="X40" s="40" t="n"/>
      <c r="Y40" s="40" t="n"/>
      <c r="Z40" s="40" t="n"/>
      <c r="AA40" s="30">
        <f>IFERROR(ROUND(IF(H40&gt;=10,30,IF(H40&gt;=5,20,IF(H40&gt;=2,10,0)))+IF(K40="Yes",20,IF(K40="Unsure",10,0))+IF(W40="Yes",30,IF(W40="Later",15,0))+IFERROR(V40/100*20,0)+IF(L40="Interested",15,IF(L40="Open But Busy",10,IF(L40="Neutral",5,0))),0),"")</f>
        <v/>
      </c>
      <c r="AB40" s="31">
        <f>IFERROR(IF(AA40&gt;=80,"🔥 HOT",IF(AA40&gt;=60,"✅ STRONG",IF(AA40&gt;=40,"⚡ WARM",IF(AA40&gt;=20,"📋 NURTURE",IF(AA40&gt;0,"❌ COLD",""))))),"")</f>
        <v/>
      </c>
      <c r="AC40" s="31">
        <f>IFERROR(IF(AND(AA40&gt;=60,OR(W40="Yes",W40="Later")),"🚨 URGENT",IF(AND(AA40&gt;=40,I40="Call Back"),"📞 CALL BACK",IF(I40="Booked Meeting","📅 BOOKED",IF(I40="Not Interested","🚫 DEAD","⏳ WORKING")))),"")</f>
        <v/>
      </c>
      <c r="AD40" s="42" t="n"/>
      <c r="AE40" s="38" t="n"/>
      <c r="AF40" s="33">
        <f>IFERROR(IF(AE40="","",AE40-TODAY()),"")</f>
        <v/>
      </c>
      <c r="AG40" s="40" t="n"/>
    </row>
    <row r="41" ht="19.5" customHeight="1" s="105">
      <c r="A41" s="44" t="inlineStr">
        <is>
          <t>Aegis Heating &amp; Air</t>
        </is>
      </c>
      <c r="B41" s="23" t="inlineStr">
        <is>
          <t>(385)250-0687</t>
        </is>
      </c>
      <c r="C41" s="23" t="inlineStr">
        <is>
          <t>West Valley City</t>
        </is>
      </c>
      <c r="D41" s="20" t="inlineStr">
        <is>
          <t>Click Here</t>
        </is>
      </c>
      <c r="E41" s="44" t="n"/>
      <c r="F41" s="44" t="n"/>
      <c r="G41" s="44" t="n"/>
      <c r="H41" s="23" t="n"/>
      <c r="I41" s="44" t="n"/>
      <c r="J41" s="44" t="n"/>
      <c r="K41" s="23" t="n"/>
      <c r="L41" s="44" t="n"/>
      <c r="M41" s="44" t="n"/>
      <c r="N41" s="44" t="n"/>
      <c r="O41" s="44" t="n"/>
      <c r="P41" s="44" t="n"/>
      <c r="Q41" s="44" t="n"/>
      <c r="R41" s="44" t="n"/>
      <c r="S41" s="44" t="n"/>
      <c r="T41" s="44" t="n"/>
      <c r="U41" s="44" t="n"/>
      <c r="V41" s="21">
        <f>IFERROR(ROUND((IF(Q41="Severe",4,IF(Q41="Moderate",3,IF(Q41="Minor",2,0)))+IF(R41="Severe",4,IF(R41="Moderate",3,IF(R41="Minor",2,0)))+IF(S41="Severe",4,IF(S41="Moderate",3,IF(S41="Minor",2,0)))+IF(T41="Severe",4,IF(T41="Moderate",3,IF(T41="Minor",2,0))))/16*100,0),"")</f>
        <v/>
      </c>
      <c r="W41" s="23" t="n"/>
      <c r="X41" s="44" t="n"/>
      <c r="Y41" s="44" t="n"/>
      <c r="Z41" s="44" t="n"/>
      <c r="AA41" s="22">
        <f>IFERROR(ROUND(IF(H41&gt;=10,30,IF(H41&gt;=5,20,IF(H41&gt;=2,10,0)))+IF(K41="Yes",20,IF(K41="Unsure",10,0))+IF(W41="Yes",30,IF(W41="Later",15,0))+IFERROR(V41/100*20,0)+IF(L41="Interested",15,IF(L41="Open But Busy",10,IF(L41="Neutral",5,0))),0),"")</f>
        <v/>
      </c>
      <c r="AB41" s="23">
        <f>IFERROR(IF(AA41&gt;=80,"🔥 HOT",IF(AA41&gt;=60,"✅ STRONG",IF(AA41&gt;=40,"⚡ WARM",IF(AA41&gt;=20,"📋 NURTURE",IF(AA41&gt;0,"❌ COLD",""))))),"")</f>
        <v/>
      </c>
      <c r="AC41" s="23">
        <f>IFERROR(IF(AND(AA41&gt;=60,OR(W41="Yes",W41="Later")),"🚨 URGENT",IF(AND(AA41&gt;=40,I41="Call Back"),"📞 CALL BACK",IF(I41="Booked Meeting","📅 BOOKED",IF(I41="Not Interested","🚫 DEAD","⏳ WORKING")))),"")</f>
        <v/>
      </c>
      <c r="AD41" s="45" t="n"/>
      <c r="AE41" s="37" t="n"/>
      <c r="AF41" s="25">
        <f>IFERROR(IF(AE41="","",AE41-TODAY()),"")</f>
        <v/>
      </c>
      <c r="AG41" s="44" t="n"/>
    </row>
    <row r="42" ht="19.5" customHeight="1" s="105">
      <c r="A42" s="40" t="inlineStr">
        <is>
          <t>Gelton Pro Heating &amp; Cooling</t>
        </is>
      </c>
      <c r="B42" s="31" t="inlineStr">
        <is>
          <t>(801)651-6419</t>
        </is>
      </c>
      <c r="C42" s="31" t="inlineStr">
        <is>
          <t>West Valley City</t>
        </is>
      </c>
      <c r="D42" s="28" t="inlineStr">
        <is>
          <t>Click Here</t>
        </is>
      </c>
      <c r="E42" s="40" t="n"/>
      <c r="F42" s="40" t="n"/>
      <c r="G42" s="40" t="n"/>
      <c r="H42" s="31" t="n"/>
      <c r="I42" s="40" t="n"/>
      <c r="J42" s="40" t="n"/>
      <c r="K42" s="31" t="n"/>
      <c r="L42" s="40" t="n"/>
      <c r="M42" s="40" t="n"/>
      <c r="N42" s="40" t="n"/>
      <c r="O42" s="40" t="n"/>
      <c r="P42" s="40" t="n"/>
      <c r="Q42" s="40" t="n"/>
      <c r="R42" s="40" t="n"/>
      <c r="S42" s="40" t="n"/>
      <c r="T42" s="40" t="n"/>
      <c r="U42" s="40" t="n"/>
      <c r="V42" s="29">
        <f>IFERROR(ROUND((IF(Q42="Severe",4,IF(Q42="Moderate",3,IF(Q42="Minor",2,0)))+IF(R42="Severe",4,IF(R42="Moderate",3,IF(R42="Minor",2,0)))+IF(S42="Severe",4,IF(S42="Moderate",3,IF(S42="Minor",2,0)))+IF(T42="Severe",4,IF(T42="Moderate",3,IF(T42="Minor",2,0))))/16*100,0),"")</f>
        <v/>
      </c>
      <c r="W42" s="31" t="n"/>
      <c r="X42" s="40" t="n"/>
      <c r="Y42" s="40" t="n"/>
      <c r="Z42" s="40" t="n"/>
      <c r="AA42" s="30">
        <f>IFERROR(ROUND(IF(H42&gt;=10,30,IF(H42&gt;=5,20,IF(H42&gt;=2,10,0)))+IF(K42="Yes",20,IF(K42="Unsure",10,0))+IF(W42="Yes",30,IF(W42="Later",15,0))+IFERROR(V42/100*20,0)+IF(L42="Interested",15,IF(L42="Open But Busy",10,IF(L42="Neutral",5,0))),0),"")</f>
        <v/>
      </c>
      <c r="AB42" s="31">
        <f>IFERROR(IF(AA42&gt;=80,"🔥 HOT",IF(AA42&gt;=60,"✅ STRONG",IF(AA42&gt;=40,"⚡ WARM",IF(AA42&gt;=20,"📋 NURTURE",IF(AA42&gt;0,"❌ COLD",""))))),"")</f>
        <v/>
      </c>
      <c r="AC42" s="31">
        <f>IFERROR(IF(AND(AA42&gt;=60,OR(W42="Yes",W42="Later")),"🚨 URGENT",IF(AND(AA42&gt;=40,I42="Call Back"),"📞 CALL BACK",IF(I42="Booked Meeting","📅 BOOKED",IF(I42="Not Interested","🚫 DEAD","⏳ WORKING")))),"")</f>
        <v/>
      </c>
      <c r="AD42" s="42" t="n"/>
      <c r="AE42" s="38" t="n"/>
      <c r="AF42" s="33">
        <f>IFERROR(IF(AE42="","",AE42-TODAY()),"")</f>
        <v/>
      </c>
      <c r="AG42" s="40" t="n"/>
    </row>
    <row r="43" ht="19.5" customHeight="1" s="105">
      <c r="A43" s="44" t="inlineStr">
        <is>
          <t>Elevation Heating &amp; Air Conditioning</t>
        </is>
      </c>
      <c r="B43" s="23" t="inlineStr">
        <is>
          <t>(385)392-5762</t>
        </is>
      </c>
      <c r="C43" s="23" t="inlineStr">
        <is>
          <t>West Valley City</t>
        </is>
      </c>
      <c r="D43" s="20" t="inlineStr">
        <is>
          <t>Click Here</t>
        </is>
      </c>
      <c r="E43" s="44" t="n"/>
      <c r="F43" s="44" t="n"/>
      <c r="G43" s="44" t="n"/>
      <c r="H43" s="23" t="n"/>
      <c r="I43" s="44" t="n"/>
      <c r="J43" s="44" t="n"/>
      <c r="K43" s="23" t="n"/>
      <c r="L43" s="44" t="n"/>
      <c r="M43" s="44" t="n"/>
      <c r="N43" s="44" t="n"/>
      <c r="O43" s="44" t="n"/>
      <c r="P43" s="44" t="n"/>
      <c r="Q43" s="44" t="n"/>
      <c r="R43" s="44" t="n"/>
      <c r="S43" s="44" t="n"/>
      <c r="T43" s="44" t="n"/>
      <c r="U43" s="44" t="n"/>
      <c r="V43" s="21">
        <f>IFERROR(ROUND((IF(Q43="Severe",4,IF(Q43="Moderate",3,IF(Q43="Minor",2,0)))+IF(R43="Severe",4,IF(R43="Moderate",3,IF(R43="Minor",2,0)))+IF(S43="Severe",4,IF(S43="Moderate",3,IF(S43="Minor",2,0)))+IF(T43="Severe",4,IF(T43="Moderate",3,IF(T43="Minor",2,0))))/16*100,0),"")</f>
        <v/>
      </c>
      <c r="W43" s="23" t="n"/>
      <c r="X43" s="44" t="n"/>
      <c r="Y43" s="44" t="n"/>
      <c r="Z43" s="44" t="n"/>
      <c r="AA43" s="22">
        <f>IFERROR(ROUND(IF(H43&gt;=10,30,IF(H43&gt;=5,20,IF(H43&gt;=2,10,0)))+IF(K43="Yes",20,IF(K43="Unsure",10,0))+IF(W43="Yes",30,IF(W43="Later",15,0))+IFERROR(V43/100*20,0)+IF(L43="Interested",15,IF(L43="Open But Busy",10,IF(L43="Neutral",5,0))),0),"")</f>
        <v/>
      </c>
      <c r="AB43" s="23">
        <f>IFERROR(IF(AA43&gt;=80,"🔥 HOT",IF(AA43&gt;=60,"✅ STRONG",IF(AA43&gt;=40,"⚡ WARM",IF(AA43&gt;=20,"📋 NURTURE",IF(AA43&gt;0,"❌ COLD",""))))),"")</f>
        <v/>
      </c>
      <c r="AC43" s="23">
        <f>IFERROR(IF(AND(AA43&gt;=60,OR(W43="Yes",W43="Later")),"🚨 URGENT",IF(AND(AA43&gt;=40,I43="Call Back"),"📞 CALL BACK",IF(I43="Booked Meeting","📅 BOOKED",IF(I43="Not Interested","🚫 DEAD","⏳ WORKING")))),"")</f>
        <v/>
      </c>
      <c r="AD43" s="45" t="n"/>
      <c r="AE43" s="37" t="n"/>
      <c r="AF43" s="25">
        <f>IFERROR(IF(AE43="","",AE43-TODAY()),"")</f>
        <v/>
      </c>
      <c r="AG43" s="44" t="n"/>
    </row>
    <row r="44" ht="19.5" customHeight="1" s="105">
      <c r="A44" s="40" t="inlineStr">
        <is>
          <t>Expert Plumbing Heating &amp; Air</t>
        </is>
      </c>
      <c r="B44" s="31" t="inlineStr">
        <is>
          <t>(801)810-7985</t>
        </is>
      </c>
      <c r="C44" s="31" t="inlineStr">
        <is>
          <t>Salt Lake City</t>
        </is>
      </c>
      <c r="D44" s="28" t="inlineStr">
        <is>
          <t>Click Here</t>
        </is>
      </c>
      <c r="E44" s="40" t="n"/>
      <c r="F44" s="40" t="n"/>
      <c r="G44" s="40" t="n"/>
      <c r="H44" s="31" t="n"/>
      <c r="I44" s="40" t="n"/>
      <c r="J44" s="40" t="n"/>
      <c r="K44" s="31" t="n"/>
      <c r="L44" s="40" t="n"/>
      <c r="M44" s="40" t="n"/>
      <c r="N44" s="40" t="n"/>
      <c r="O44" s="40" t="n"/>
      <c r="P44" s="40" t="n"/>
      <c r="Q44" s="40" t="n"/>
      <c r="R44" s="40" t="n"/>
      <c r="S44" s="40" t="n"/>
      <c r="T44" s="40" t="n"/>
      <c r="U44" s="40" t="n"/>
      <c r="V44" s="29">
        <f>IFERROR(ROUND((IF(Q44="Severe",4,IF(Q44="Moderate",3,IF(Q44="Minor",2,0)))+IF(R44="Severe",4,IF(R44="Moderate",3,IF(R44="Minor",2,0)))+IF(S44="Severe",4,IF(S44="Moderate",3,IF(S44="Minor",2,0)))+IF(T44="Severe",4,IF(T44="Moderate",3,IF(T44="Minor",2,0))))/16*100,0),"")</f>
        <v/>
      </c>
      <c r="W44" s="31" t="n"/>
      <c r="X44" s="40" t="n"/>
      <c r="Y44" s="40" t="n"/>
      <c r="Z44" s="40" t="n"/>
      <c r="AA44" s="30">
        <f>IFERROR(ROUND(IF(H44&gt;=10,30,IF(H44&gt;=5,20,IF(H44&gt;=2,10,0)))+IF(K44="Yes",20,IF(K44="Unsure",10,0))+IF(W44="Yes",30,IF(W44="Later",15,0))+IFERROR(V44/100*20,0)+IF(L44="Interested",15,IF(L44="Open But Busy",10,IF(L44="Neutral",5,0))),0),"")</f>
        <v/>
      </c>
      <c r="AB44" s="31">
        <f>IFERROR(IF(AA44&gt;=80,"🔥 HOT",IF(AA44&gt;=60,"✅ STRONG",IF(AA44&gt;=40,"⚡ WARM",IF(AA44&gt;=20,"📋 NURTURE",IF(AA44&gt;0,"❌ COLD",""))))),"")</f>
        <v/>
      </c>
      <c r="AC44" s="31">
        <f>IFERROR(IF(AND(AA44&gt;=60,OR(W44="Yes",W44="Later")),"🚨 URGENT",IF(AND(AA44&gt;=40,I44="Call Back"),"📞 CALL BACK",IF(I44="Booked Meeting","📅 BOOKED",IF(I44="Not Interested","🚫 DEAD","⏳ WORKING")))),"")</f>
        <v/>
      </c>
      <c r="AD44" s="42" t="n"/>
      <c r="AE44" s="38" t="n"/>
      <c r="AF44" s="33">
        <f>IFERROR(IF(AE44="","",AE44-TODAY()),"")</f>
        <v/>
      </c>
      <c r="AG44" s="40" t="n"/>
    </row>
    <row r="45" ht="19.5" customHeight="1" s="105">
      <c r="A45" s="44" t="inlineStr">
        <is>
          <t>Rapid Response Heating &amp; Air</t>
        </is>
      </c>
      <c r="B45" s="23" t="inlineStr">
        <is>
          <t>(801)889-7943</t>
        </is>
      </c>
      <c r="C45" s="23" t="inlineStr">
        <is>
          <t>Salt Lake City</t>
        </is>
      </c>
      <c r="D45" s="20" t="inlineStr">
        <is>
          <t>Click Here</t>
        </is>
      </c>
      <c r="E45" s="44" t="n"/>
      <c r="F45" s="44" t="n"/>
      <c r="G45" s="44" t="n"/>
      <c r="H45" s="23" t="n"/>
      <c r="I45" s="44" t="n"/>
      <c r="J45" s="44" t="n"/>
      <c r="K45" s="23" t="n"/>
      <c r="L45" s="44" t="n"/>
      <c r="M45" s="44" t="n"/>
      <c r="N45" s="44" t="n"/>
      <c r="O45" s="44" t="n"/>
      <c r="P45" s="44" t="n"/>
      <c r="Q45" s="44" t="n"/>
      <c r="R45" s="44" t="n"/>
      <c r="S45" s="44" t="n"/>
      <c r="T45" s="44" t="n"/>
      <c r="U45" s="44" t="n"/>
      <c r="V45" s="21">
        <f>IFERROR(ROUND((IF(Q45="Severe",4,IF(Q45="Moderate",3,IF(Q45="Minor",2,0)))+IF(R45="Severe",4,IF(R45="Moderate",3,IF(R45="Minor",2,0)))+IF(S45="Severe",4,IF(S45="Moderate",3,IF(S45="Minor",2,0)))+IF(T45="Severe",4,IF(T45="Moderate",3,IF(T45="Minor",2,0))))/16*100,0),"")</f>
        <v/>
      </c>
      <c r="W45" s="23" t="n"/>
      <c r="X45" s="44" t="n"/>
      <c r="Y45" s="44" t="n"/>
      <c r="Z45" s="44" t="n"/>
      <c r="AA45" s="22">
        <f>IFERROR(ROUND(IF(H45&gt;=10,30,IF(H45&gt;=5,20,IF(H45&gt;=2,10,0)))+IF(K45="Yes",20,IF(K45="Unsure",10,0))+IF(W45="Yes",30,IF(W45="Later",15,0))+IFERROR(V45/100*20,0)+IF(L45="Interested",15,IF(L45="Open But Busy",10,IF(L45="Neutral",5,0))),0),"")</f>
        <v/>
      </c>
      <c r="AB45" s="23">
        <f>IFERROR(IF(AA45&gt;=80,"🔥 HOT",IF(AA45&gt;=60,"✅ STRONG",IF(AA45&gt;=40,"⚡ WARM",IF(AA45&gt;=20,"📋 NURTURE",IF(AA45&gt;0,"❌ COLD",""))))),"")</f>
        <v/>
      </c>
      <c r="AC45" s="23">
        <f>IFERROR(IF(AND(AA45&gt;=60,OR(W45="Yes",W45="Later")),"🚨 URGENT",IF(AND(AA45&gt;=40,I45="Call Back"),"📞 CALL BACK",IF(I45="Booked Meeting","📅 BOOKED",IF(I45="Not Interested","🚫 DEAD","⏳ WORKING")))),"")</f>
        <v/>
      </c>
      <c r="AD45" s="45" t="n"/>
      <c r="AE45" s="37" t="n"/>
      <c r="AF45" s="25">
        <f>IFERROR(IF(AE45="","",AE45-TODAY()),"")</f>
        <v/>
      </c>
      <c r="AG45" s="44" t="n"/>
    </row>
    <row r="46" ht="19.5" customHeight="1" s="105">
      <c r="A46" s="40" t="inlineStr">
        <is>
          <t>Lucas Heating &amp; Air</t>
        </is>
      </c>
      <c r="B46" s="31" t="inlineStr">
        <is>
          <t>(801)678-5748</t>
        </is>
      </c>
      <c r="C46" s="31" t="inlineStr">
        <is>
          <t>Salt Lake City</t>
        </is>
      </c>
      <c r="D46" s="28" t="inlineStr">
        <is>
          <t>Click Here</t>
        </is>
      </c>
      <c r="E46" s="40" t="n"/>
      <c r="F46" s="40" t="n"/>
      <c r="G46" s="40" t="n"/>
      <c r="H46" s="31" t="n"/>
      <c r="I46" s="40" t="n"/>
      <c r="J46" s="40" t="n"/>
      <c r="K46" s="31" t="n"/>
      <c r="L46" s="40" t="n"/>
      <c r="M46" s="40" t="n"/>
      <c r="N46" s="40" t="n"/>
      <c r="O46" s="40" t="n"/>
      <c r="P46" s="40" t="n"/>
      <c r="Q46" s="40" t="n"/>
      <c r="R46" s="40" t="n"/>
      <c r="S46" s="40" t="n"/>
      <c r="T46" s="40" t="n"/>
      <c r="U46" s="40" t="n"/>
      <c r="V46" s="29">
        <f>IFERROR(ROUND((IF(Q46="Severe",4,IF(Q46="Moderate",3,IF(Q46="Minor",2,0)))+IF(R46="Severe",4,IF(R46="Moderate",3,IF(R46="Minor",2,0)))+IF(S46="Severe",4,IF(S46="Moderate",3,IF(S46="Minor",2,0)))+IF(T46="Severe",4,IF(T46="Moderate",3,IF(T46="Minor",2,0))))/16*100,0),"")</f>
        <v/>
      </c>
      <c r="W46" s="31" t="n"/>
      <c r="X46" s="40" t="n"/>
      <c r="Y46" s="40" t="n"/>
      <c r="Z46" s="40" t="n"/>
      <c r="AA46" s="30">
        <f>IFERROR(ROUND(IF(H46&gt;=10,30,IF(H46&gt;=5,20,IF(H46&gt;=2,10,0)))+IF(K46="Yes",20,IF(K46="Unsure",10,0))+IF(W46="Yes",30,IF(W46="Later",15,0))+IFERROR(V46/100*20,0)+IF(L46="Interested",15,IF(L46="Open But Busy",10,IF(L46="Neutral",5,0))),0),"")</f>
        <v/>
      </c>
      <c r="AB46" s="31">
        <f>IFERROR(IF(AA46&gt;=80,"🔥 HOT",IF(AA46&gt;=60,"✅ STRONG",IF(AA46&gt;=40,"⚡ WARM",IF(AA46&gt;=20,"📋 NURTURE",IF(AA46&gt;0,"❌ COLD",""))))),"")</f>
        <v/>
      </c>
      <c r="AC46" s="31">
        <f>IFERROR(IF(AND(AA46&gt;=60,OR(W46="Yes",W46="Later")),"🚨 URGENT",IF(AND(AA46&gt;=40,I46="Call Back"),"📞 CALL BACK",IF(I46="Booked Meeting","📅 BOOKED",IF(I46="Not Interested","🚫 DEAD","⏳ WORKING")))),"")</f>
        <v/>
      </c>
      <c r="AD46" s="42" t="n"/>
      <c r="AE46" s="38" t="n"/>
      <c r="AF46" s="33">
        <f>IFERROR(IF(AE46="","",AE46-TODAY()),"")</f>
        <v/>
      </c>
      <c r="AG46" s="40" t="n"/>
    </row>
    <row r="47" ht="19.5" customHeight="1" s="105">
      <c r="A47" s="44" t="inlineStr">
        <is>
          <t>Royal Total Services</t>
        </is>
      </c>
      <c r="B47" s="23" t="inlineStr">
        <is>
          <t>(801)738-8992</t>
        </is>
      </c>
      <c r="C47" s="23" t="inlineStr">
        <is>
          <t>Salt Lake City</t>
        </is>
      </c>
      <c r="D47" s="20" t="inlineStr">
        <is>
          <t>Click Here</t>
        </is>
      </c>
      <c r="E47" s="44" t="n"/>
      <c r="F47" s="44" t="n"/>
      <c r="G47" s="44" t="n"/>
      <c r="H47" s="23" t="n"/>
      <c r="I47" s="44" t="n"/>
      <c r="J47" s="44" t="n"/>
      <c r="K47" s="23" t="n"/>
      <c r="L47" s="44" t="n"/>
      <c r="M47" s="44" t="n"/>
      <c r="N47" s="44" t="n"/>
      <c r="O47" s="44" t="n"/>
      <c r="P47" s="44" t="n"/>
      <c r="Q47" s="44" t="n"/>
      <c r="R47" s="44" t="n"/>
      <c r="S47" s="44" t="n"/>
      <c r="T47" s="44" t="n"/>
      <c r="U47" s="44" t="n"/>
      <c r="V47" s="21">
        <f>IFERROR(ROUND((IF(Q47="Severe",4,IF(Q47="Moderate",3,IF(Q47="Minor",2,0)))+IF(R47="Severe",4,IF(R47="Moderate",3,IF(R47="Minor",2,0)))+IF(S47="Severe",4,IF(S47="Moderate",3,IF(S47="Minor",2,0)))+IF(T47="Severe",4,IF(T47="Moderate",3,IF(T47="Minor",2,0))))/16*100,0),"")</f>
        <v/>
      </c>
      <c r="W47" s="23" t="n"/>
      <c r="X47" s="44" t="n"/>
      <c r="Y47" s="44" t="n"/>
      <c r="Z47" s="44" t="n"/>
      <c r="AA47" s="22">
        <f>IFERROR(ROUND(IF(H47&gt;=10,30,IF(H47&gt;=5,20,IF(H47&gt;=2,10,0)))+IF(K47="Yes",20,IF(K47="Unsure",10,0))+IF(W47="Yes",30,IF(W47="Later",15,0))+IFERROR(V47/100*20,0)+IF(L47="Interested",15,IF(L47="Open But Busy",10,IF(L47="Neutral",5,0))),0),"")</f>
        <v/>
      </c>
      <c r="AB47" s="23">
        <f>IFERROR(IF(AA47&gt;=80,"🔥 HOT",IF(AA47&gt;=60,"✅ STRONG",IF(AA47&gt;=40,"⚡ WARM",IF(AA47&gt;=20,"📋 NURTURE",IF(AA47&gt;0,"❌ COLD",""))))),"")</f>
        <v/>
      </c>
      <c r="AC47" s="23">
        <f>IFERROR(IF(AND(AA47&gt;=60,OR(W47="Yes",W47="Later")),"🚨 URGENT",IF(AND(AA47&gt;=40,I47="Call Back"),"📞 CALL BACK",IF(I47="Booked Meeting","📅 BOOKED",IF(I47="Not Interested","🚫 DEAD","⏳ WORKING")))),"")</f>
        <v/>
      </c>
      <c r="AD47" s="45" t="n"/>
      <c r="AE47" s="37" t="n"/>
      <c r="AF47" s="25">
        <f>IFERROR(IF(AE47="","",AE47-TODAY()),"")</f>
        <v/>
      </c>
      <c r="AG47" s="44" t="n"/>
    </row>
    <row r="48" ht="19.5" customHeight="1" s="105">
      <c r="A48" s="40" t="inlineStr">
        <is>
          <t>Action Plumbing Heating &amp; Air</t>
        </is>
      </c>
      <c r="B48" s="31" t="inlineStr">
        <is>
          <t>(801)960-4061</t>
        </is>
      </c>
      <c r="C48" s="31" t="inlineStr">
        <is>
          <t>Salt Lake City</t>
        </is>
      </c>
      <c r="D48" s="28" t="inlineStr">
        <is>
          <t>Click Here</t>
        </is>
      </c>
      <c r="E48" s="40" t="n"/>
      <c r="F48" s="40" t="n"/>
      <c r="G48" s="40" t="n"/>
      <c r="H48" s="31" t="n"/>
      <c r="I48" s="40" t="n"/>
      <c r="J48" s="40" t="n"/>
      <c r="K48" s="31" t="n"/>
      <c r="L48" s="40" t="n"/>
      <c r="M48" s="40" t="n"/>
      <c r="N48" s="40" t="n"/>
      <c r="O48" s="40" t="n"/>
      <c r="P48" s="40" t="n"/>
      <c r="Q48" s="40" t="n"/>
      <c r="R48" s="40" t="n"/>
      <c r="S48" s="40" t="n"/>
      <c r="T48" s="40" t="n"/>
      <c r="U48" s="40" t="n"/>
      <c r="V48" s="29">
        <f>IFERROR(ROUND((IF(Q48="Severe",4,IF(Q48="Moderate",3,IF(Q48="Minor",2,0)))+IF(R48="Severe",4,IF(R48="Moderate",3,IF(R48="Minor",2,0)))+IF(S48="Severe",4,IF(S48="Moderate",3,IF(S48="Minor",2,0)))+IF(T48="Severe",4,IF(T48="Moderate",3,IF(T48="Minor",2,0))))/16*100,0),"")</f>
        <v/>
      </c>
      <c r="W48" s="31" t="n"/>
      <c r="X48" s="40" t="n"/>
      <c r="Y48" s="40" t="n"/>
      <c r="Z48" s="40" t="n"/>
      <c r="AA48" s="30">
        <f>IFERROR(ROUND(IF(H48&gt;=10,30,IF(H48&gt;=5,20,IF(H48&gt;=2,10,0)))+IF(K48="Yes",20,IF(K48="Unsure",10,0))+IF(W48="Yes",30,IF(W48="Later",15,0))+IFERROR(V48/100*20,0)+IF(L48="Interested",15,IF(L48="Open But Busy",10,IF(L48="Neutral",5,0))),0),"")</f>
        <v/>
      </c>
      <c r="AB48" s="31">
        <f>IFERROR(IF(AA48&gt;=80,"🔥 HOT",IF(AA48&gt;=60,"✅ STRONG",IF(AA48&gt;=40,"⚡ WARM",IF(AA48&gt;=20,"📋 NURTURE",IF(AA48&gt;0,"❌ COLD",""))))),"")</f>
        <v/>
      </c>
      <c r="AC48" s="31">
        <f>IFERROR(IF(AND(AA48&gt;=60,OR(W48="Yes",W48="Later")),"🚨 URGENT",IF(AND(AA48&gt;=40,I48="Call Back"),"📞 CALL BACK",IF(I48="Booked Meeting","📅 BOOKED",IF(I48="Not Interested","🚫 DEAD","⏳ WORKING")))),"")</f>
        <v/>
      </c>
      <c r="AD48" s="42" t="n"/>
      <c r="AE48" s="38" t="n"/>
      <c r="AF48" s="33">
        <f>IFERROR(IF(AE48="","",AE48-TODAY()),"")</f>
        <v/>
      </c>
      <c r="AG48" s="40" t="n"/>
    </row>
    <row r="49" ht="19.5" customHeight="1" s="105">
      <c r="A49" s="44" t="inlineStr">
        <is>
          <t>Zephyr Heating &amp; Cooling</t>
        </is>
      </c>
      <c r="B49" s="23" t="inlineStr">
        <is>
          <t>(801)471-0091</t>
        </is>
      </c>
      <c r="C49" s="23" t="inlineStr">
        <is>
          <t>Salt Lake City</t>
        </is>
      </c>
      <c r="D49" s="20" t="inlineStr">
        <is>
          <t>Click Here</t>
        </is>
      </c>
      <c r="E49" s="44" t="n"/>
      <c r="F49" s="44" t="n"/>
      <c r="G49" s="44" t="n"/>
      <c r="H49" s="23" t="n"/>
      <c r="I49" s="44" t="n"/>
      <c r="J49" s="44" t="n"/>
      <c r="K49" s="23" t="n"/>
      <c r="L49" s="44" t="n"/>
      <c r="M49" s="44" t="n"/>
      <c r="N49" s="44" t="n"/>
      <c r="O49" s="44" t="n"/>
      <c r="P49" s="44" t="n"/>
      <c r="Q49" s="44" t="n"/>
      <c r="R49" s="44" t="n"/>
      <c r="S49" s="44" t="n"/>
      <c r="T49" s="44" t="n"/>
      <c r="U49" s="44" t="n"/>
      <c r="V49" s="21">
        <f>IFERROR(ROUND((IF(Q49="Severe",4,IF(Q49="Moderate",3,IF(Q49="Minor",2,0)))+IF(R49="Severe",4,IF(R49="Moderate",3,IF(R49="Minor",2,0)))+IF(S49="Severe",4,IF(S49="Moderate",3,IF(S49="Minor",2,0)))+IF(T49="Severe",4,IF(T49="Moderate",3,IF(T49="Minor",2,0))))/16*100,0),"")</f>
        <v/>
      </c>
      <c r="W49" s="23" t="n"/>
      <c r="X49" s="44" t="n"/>
      <c r="Y49" s="44" t="n"/>
      <c r="Z49" s="44" t="n"/>
      <c r="AA49" s="22">
        <f>IFERROR(ROUND(IF(H49&gt;=10,30,IF(H49&gt;=5,20,IF(H49&gt;=2,10,0)))+IF(K49="Yes",20,IF(K49="Unsure",10,0))+IF(W49="Yes",30,IF(W49="Later",15,0))+IFERROR(V49/100*20,0)+IF(L49="Interested",15,IF(L49="Open But Busy",10,IF(L49="Neutral",5,0))),0),"")</f>
        <v/>
      </c>
      <c r="AB49" s="23">
        <f>IFERROR(IF(AA49&gt;=80,"🔥 HOT",IF(AA49&gt;=60,"✅ STRONG",IF(AA49&gt;=40,"⚡ WARM",IF(AA49&gt;=20,"📋 NURTURE",IF(AA49&gt;0,"❌ COLD",""))))),"")</f>
        <v/>
      </c>
      <c r="AC49" s="23">
        <f>IFERROR(IF(AND(AA49&gt;=60,OR(W49="Yes",W49="Later")),"🚨 URGENT",IF(AND(AA49&gt;=40,I49="Call Back"),"📞 CALL BACK",IF(I49="Booked Meeting","📅 BOOKED",IF(I49="Not Interested","🚫 DEAD","⏳ WORKING")))),"")</f>
        <v/>
      </c>
      <c r="AD49" s="45" t="n"/>
      <c r="AE49" s="37" t="n"/>
      <c r="AF49" s="25">
        <f>IFERROR(IF(AE49="","",AE49-TODAY()),"")</f>
        <v/>
      </c>
      <c r="AG49" s="44" t="n"/>
    </row>
    <row r="50" ht="19.5" customHeight="1" s="105">
      <c r="A50" s="40" t="inlineStr">
        <is>
          <t>Western Heating &amp; Air</t>
        </is>
      </c>
      <c r="B50" s="31" t="inlineStr">
        <is>
          <t>(385)233-9556</t>
        </is>
      </c>
      <c r="C50" s="31" t="inlineStr">
        <is>
          <t>Salt Lake City</t>
        </is>
      </c>
      <c r="D50" s="28" t="inlineStr">
        <is>
          <t>Click Here</t>
        </is>
      </c>
      <c r="E50" s="40" t="n"/>
      <c r="F50" s="40" t="n"/>
      <c r="G50" s="40" t="n"/>
      <c r="H50" s="31" t="n"/>
      <c r="I50" s="40" t="n"/>
      <c r="J50" s="40" t="n"/>
      <c r="K50" s="31" t="n"/>
      <c r="L50" s="40" t="n"/>
      <c r="M50" s="40" t="n"/>
      <c r="N50" s="40" t="n"/>
      <c r="O50" s="40" t="n"/>
      <c r="P50" s="40" t="n"/>
      <c r="Q50" s="40" t="n"/>
      <c r="R50" s="40" t="n"/>
      <c r="S50" s="40" t="n"/>
      <c r="T50" s="40" t="n"/>
      <c r="U50" s="40" t="n"/>
      <c r="V50" s="29">
        <f>IFERROR(ROUND((IF(Q50="Severe",4,IF(Q50="Moderate",3,IF(Q50="Minor",2,0)))+IF(R50="Severe",4,IF(R50="Moderate",3,IF(R50="Minor",2,0)))+IF(S50="Severe",4,IF(S50="Moderate",3,IF(S50="Minor",2,0)))+IF(T50="Severe",4,IF(T50="Moderate",3,IF(T50="Minor",2,0))))/16*100,0),"")</f>
        <v/>
      </c>
      <c r="W50" s="31" t="n"/>
      <c r="X50" s="40" t="n"/>
      <c r="Y50" s="40" t="n"/>
      <c r="Z50" s="40" t="n"/>
      <c r="AA50" s="30">
        <f>IFERROR(ROUND(IF(H50&gt;=10,30,IF(H50&gt;=5,20,IF(H50&gt;=2,10,0)))+IF(K50="Yes",20,IF(K50="Unsure",10,0))+IF(W50="Yes",30,IF(W50="Later",15,0))+IFERROR(V50/100*20,0)+IF(L50="Interested",15,IF(L50="Open But Busy",10,IF(L50="Neutral",5,0))),0),"")</f>
        <v/>
      </c>
      <c r="AB50" s="31">
        <f>IFERROR(IF(AA50&gt;=80,"🔥 HOT",IF(AA50&gt;=60,"✅ STRONG",IF(AA50&gt;=40,"⚡ WARM",IF(AA50&gt;=20,"📋 NURTURE",IF(AA50&gt;0,"❌ COLD",""))))),"")</f>
        <v/>
      </c>
      <c r="AC50" s="31">
        <f>IFERROR(IF(AND(AA50&gt;=60,OR(W50="Yes",W50="Later")),"🚨 URGENT",IF(AND(AA50&gt;=40,I50="Call Back"),"📞 CALL BACK",IF(I50="Booked Meeting","📅 BOOKED",IF(I50="Not Interested","🚫 DEAD","⏳ WORKING")))),"")</f>
        <v/>
      </c>
      <c r="AD50" s="42" t="n"/>
      <c r="AE50" s="38" t="n"/>
      <c r="AF50" s="33">
        <f>IFERROR(IF(AE50="","",AE50-TODAY()),"")</f>
        <v/>
      </c>
      <c r="AG50" s="40" t="n"/>
    </row>
    <row r="51" ht="19.5" customHeight="1" s="105">
      <c r="A51" s="44" t="inlineStr">
        <is>
          <t>Salt City Plumbing Heating &amp; Air</t>
        </is>
      </c>
      <c r="B51" s="23" t="inlineStr">
        <is>
          <t>(801)640-9785</t>
        </is>
      </c>
      <c r="C51" s="23" t="inlineStr">
        <is>
          <t>Salt Lake City</t>
        </is>
      </c>
      <c r="D51" s="20" t="inlineStr">
        <is>
          <t>Click Here</t>
        </is>
      </c>
      <c r="E51" s="44" t="n"/>
      <c r="F51" s="44" t="n"/>
      <c r="G51" s="44" t="n"/>
      <c r="H51" s="23" t="n"/>
      <c r="I51" s="44" t="n"/>
      <c r="J51" s="44" t="n"/>
      <c r="K51" s="23" t="n"/>
      <c r="L51" s="44" t="n"/>
      <c r="M51" s="44" t="n"/>
      <c r="N51" s="44" t="n"/>
      <c r="O51" s="44" t="n"/>
      <c r="P51" s="44" t="n"/>
      <c r="Q51" s="44" t="n"/>
      <c r="R51" s="44" t="n"/>
      <c r="S51" s="44" t="n"/>
      <c r="T51" s="44" t="n"/>
      <c r="U51" s="44" t="n"/>
      <c r="V51" s="21">
        <f>IFERROR(ROUND((IF(Q51="Severe",4,IF(Q51="Moderate",3,IF(Q51="Minor",2,0)))+IF(R51="Severe",4,IF(R51="Moderate",3,IF(R51="Minor",2,0)))+IF(S51="Severe",4,IF(S51="Moderate",3,IF(S51="Minor",2,0)))+IF(T51="Severe",4,IF(T51="Moderate",3,IF(T51="Minor",2,0))))/16*100,0),"")</f>
        <v/>
      </c>
      <c r="W51" s="23" t="n"/>
      <c r="X51" s="44" t="n"/>
      <c r="Y51" s="44" t="n"/>
      <c r="Z51" s="44" t="n"/>
      <c r="AA51" s="22">
        <f>IFERROR(ROUND(IF(H51&gt;=10,30,IF(H51&gt;=5,20,IF(H51&gt;=2,10,0)))+IF(K51="Yes",20,IF(K51="Unsure",10,0))+IF(W51="Yes",30,IF(W51="Later",15,0))+IFERROR(V51/100*20,0)+IF(L51="Interested",15,IF(L51="Open But Busy",10,IF(L51="Neutral",5,0))),0),"")</f>
        <v/>
      </c>
      <c r="AB51" s="23">
        <f>IFERROR(IF(AA51&gt;=80,"🔥 HOT",IF(AA51&gt;=60,"✅ STRONG",IF(AA51&gt;=40,"⚡ WARM",IF(AA51&gt;=20,"📋 NURTURE",IF(AA51&gt;0,"❌ COLD",""))))),"")</f>
        <v/>
      </c>
      <c r="AC51" s="23">
        <f>IFERROR(IF(AND(AA51&gt;=60,OR(W51="Yes",W51="Later")),"🚨 URGENT",IF(AND(AA51&gt;=40,I51="Call Back"),"📞 CALL BACK",IF(I51="Booked Meeting","📅 BOOKED",IF(I51="Not Interested","🚫 DEAD","⏳ WORKING")))),"")</f>
        <v/>
      </c>
      <c r="AD51" s="45" t="n"/>
      <c r="AE51" s="37" t="n"/>
      <c r="AF51" s="25">
        <f>IFERROR(IF(AE51="","",AE51-TODAY()),"")</f>
        <v/>
      </c>
      <c r="AG51" s="44" t="n"/>
    </row>
    <row r="52" ht="19.5" customHeight="1" s="105">
      <c r="A52" s="40" t="inlineStr">
        <is>
          <t>Black Diamond Experts</t>
        </is>
      </c>
      <c r="B52" s="31" t="inlineStr">
        <is>
          <t>(385)233-9406</t>
        </is>
      </c>
      <c r="C52" s="31" t="inlineStr">
        <is>
          <t>Salt Lake City</t>
        </is>
      </c>
      <c r="D52" s="28" t="inlineStr">
        <is>
          <t>Click Here</t>
        </is>
      </c>
      <c r="E52" s="40" t="n"/>
      <c r="F52" s="40" t="n"/>
      <c r="G52" s="40" t="n"/>
      <c r="H52" s="31" t="n"/>
      <c r="I52" s="40" t="n"/>
      <c r="J52" s="40" t="n"/>
      <c r="K52" s="31" t="n"/>
      <c r="L52" s="40" t="n"/>
      <c r="M52" s="40" t="n"/>
      <c r="N52" s="40" t="n"/>
      <c r="O52" s="40" t="n"/>
      <c r="P52" s="40" t="n"/>
      <c r="Q52" s="40" t="n"/>
      <c r="R52" s="40" t="n"/>
      <c r="S52" s="40" t="n"/>
      <c r="T52" s="40" t="n"/>
      <c r="U52" s="40" t="n"/>
      <c r="V52" s="29">
        <f>IFERROR(ROUND((IF(Q52="Severe",4,IF(Q52="Moderate",3,IF(Q52="Minor",2,0)))+IF(R52="Severe",4,IF(R52="Moderate",3,IF(R52="Minor",2,0)))+IF(S52="Severe",4,IF(S52="Moderate",3,IF(S52="Minor",2,0)))+IF(T52="Severe",4,IF(T52="Moderate",3,IF(T52="Minor",2,0))))/16*100,0),"")</f>
        <v/>
      </c>
      <c r="W52" s="31" t="n"/>
      <c r="X52" s="40" t="n"/>
      <c r="Y52" s="40" t="n"/>
      <c r="Z52" s="40" t="n"/>
      <c r="AA52" s="30">
        <f>IFERROR(ROUND(IF(H52&gt;=10,30,IF(H52&gt;=5,20,IF(H52&gt;=2,10,0)))+IF(K52="Yes",20,IF(K52="Unsure",10,0))+IF(W52="Yes",30,IF(W52="Later",15,0))+IFERROR(V52/100*20,0)+IF(L52="Interested",15,IF(L52="Open But Busy",10,IF(L52="Neutral",5,0))),0),"")</f>
        <v/>
      </c>
      <c r="AB52" s="31">
        <f>IFERROR(IF(AA52&gt;=80,"🔥 HOT",IF(AA52&gt;=60,"✅ STRONG",IF(AA52&gt;=40,"⚡ WARM",IF(AA52&gt;=20,"📋 NURTURE",IF(AA52&gt;0,"❌ COLD",""))))),"")</f>
        <v/>
      </c>
      <c r="AC52" s="31">
        <f>IFERROR(IF(AND(AA52&gt;=60,OR(W52="Yes",W52="Later")),"🚨 URGENT",IF(AND(AA52&gt;=40,I52="Call Back"),"📞 CALL BACK",IF(I52="Booked Meeting","📅 BOOKED",IF(I52="Not Interested","🚫 DEAD","⏳ WORKING")))),"")</f>
        <v/>
      </c>
      <c r="AD52" s="42" t="n"/>
      <c r="AE52" s="38" t="n"/>
      <c r="AF52" s="33">
        <f>IFERROR(IF(AE52="","",AE52-TODAY()),"")</f>
        <v/>
      </c>
      <c r="AG52" s="40" t="n"/>
    </row>
    <row r="53" ht="19.5" customHeight="1" s="105">
      <c r="A53" s="44" t="inlineStr">
        <is>
          <t>Utah's Best Home Pros</t>
        </is>
      </c>
      <c r="B53" s="23" t="inlineStr">
        <is>
          <t>(385)324-1211</t>
        </is>
      </c>
      <c r="C53" s="23" t="inlineStr">
        <is>
          <t>N-Salt Lake City</t>
        </is>
      </c>
      <c r="D53" s="20" t="inlineStr">
        <is>
          <t>Click Here</t>
        </is>
      </c>
      <c r="E53" s="44" t="n"/>
      <c r="F53" s="44" t="n"/>
      <c r="G53" s="44" t="n"/>
      <c r="H53" s="23" t="n"/>
      <c r="I53" s="44" t="n"/>
      <c r="J53" s="44" t="n"/>
      <c r="K53" s="23" t="n"/>
      <c r="L53" s="44" t="n"/>
      <c r="M53" s="44" t="n"/>
      <c r="N53" s="44" t="n"/>
      <c r="O53" s="44" t="n"/>
      <c r="P53" s="44" t="n"/>
      <c r="Q53" s="44" t="n"/>
      <c r="R53" s="44" t="n"/>
      <c r="S53" s="44" t="n"/>
      <c r="T53" s="44" t="n"/>
      <c r="U53" s="44" t="n"/>
      <c r="V53" s="21">
        <f>IFERROR(ROUND((IF(Q53="Severe",4,IF(Q53="Moderate",3,IF(Q53="Minor",2,0)))+IF(R53="Severe",4,IF(R53="Moderate",3,IF(R53="Minor",2,0)))+IF(S53="Severe",4,IF(S53="Moderate",3,IF(S53="Minor",2,0)))+IF(T53="Severe",4,IF(T53="Moderate",3,IF(T53="Minor",2,0))))/16*100,0),"")</f>
        <v/>
      </c>
      <c r="W53" s="23" t="n"/>
      <c r="X53" s="44" t="n"/>
      <c r="Y53" s="44" t="n"/>
      <c r="Z53" s="44" t="n"/>
      <c r="AA53" s="22">
        <f>IFERROR(ROUND(IF(H53&gt;=10,30,IF(H53&gt;=5,20,IF(H53&gt;=2,10,0)))+IF(K53="Yes",20,IF(K53="Unsure",10,0))+IF(W53="Yes",30,IF(W53="Later",15,0))+IFERROR(V53/100*20,0)+IF(L53="Interested",15,IF(L53="Open But Busy",10,IF(L53="Neutral",5,0))),0),"")</f>
        <v/>
      </c>
      <c r="AB53" s="23">
        <f>IFERROR(IF(AA53&gt;=80,"🔥 HOT",IF(AA53&gt;=60,"✅ STRONG",IF(AA53&gt;=40,"⚡ WARM",IF(AA53&gt;=20,"📋 NURTURE",IF(AA53&gt;0,"❌ COLD",""))))),"")</f>
        <v/>
      </c>
      <c r="AC53" s="23">
        <f>IFERROR(IF(AND(AA53&gt;=60,OR(W53="Yes",W53="Later")),"🚨 URGENT",IF(AND(AA53&gt;=40,I53="Call Back"),"📞 CALL BACK",IF(I53="Booked Meeting","📅 BOOKED",IF(I53="Not Interested","🚫 DEAD","⏳ WORKING")))),"")</f>
        <v/>
      </c>
      <c r="AD53" s="45" t="n"/>
      <c r="AE53" s="37" t="n"/>
      <c r="AF53" s="25">
        <f>IFERROR(IF(AE53="","",AE53-TODAY()),"")</f>
        <v/>
      </c>
      <c r="AG53" s="44" t="n"/>
    </row>
    <row r="54" ht="19.5" customHeight="1" s="105">
      <c r="A54" s="40" t="inlineStr">
        <is>
          <t>Safe Heating &amp; Air</t>
        </is>
      </c>
      <c r="B54" s="31" t="inlineStr">
        <is>
          <t>(801)600-5551</t>
        </is>
      </c>
      <c r="C54" s="31" t="inlineStr">
        <is>
          <t>N-Salt Lake City</t>
        </is>
      </c>
      <c r="D54" s="28" t="inlineStr">
        <is>
          <t>Click Here</t>
        </is>
      </c>
      <c r="E54" s="40" t="n"/>
      <c r="F54" s="40" t="n"/>
      <c r="G54" s="40" t="n"/>
      <c r="H54" s="31" t="n"/>
      <c r="I54" s="40" t="n"/>
      <c r="J54" s="40" t="n"/>
      <c r="K54" s="31" t="n"/>
      <c r="L54" s="40" t="n"/>
      <c r="M54" s="40" t="n"/>
      <c r="N54" s="40" t="n"/>
      <c r="O54" s="40" t="n"/>
      <c r="P54" s="40" t="n"/>
      <c r="Q54" s="40" t="n"/>
      <c r="R54" s="40" t="n"/>
      <c r="S54" s="40" t="n"/>
      <c r="T54" s="40" t="n"/>
      <c r="U54" s="40" t="n"/>
      <c r="V54" s="29">
        <f>IFERROR(ROUND((IF(Q54="Severe",4,IF(Q54="Moderate",3,IF(Q54="Minor",2,0)))+IF(R54="Severe",4,IF(R54="Moderate",3,IF(R54="Minor",2,0)))+IF(S54="Severe",4,IF(S54="Moderate",3,IF(S54="Minor",2,0)))+IF(T54="Severe",4,IF(T54="Moderate",3,IF(T54="Minor",2,0))))/16*100,0),"")</f>
        <v/>
      </c>
      <c r="W54" s="31" t="n"/>
      <c r="X54" s="40" t="n"/>
      <c r="Y54" s="40" t="n"/>
      <c r="Z54" s="40" t="n"/>
      <c r="AA54" s="30">
        <f>IFERROR(ROUND(IF(H54&gt;=10,30,IF(H54&gt;=5,20,IF(H54&gt;=2,10,0)))+IF(K54="Yes",20,IF(K54="Unsure",10,0))+IF(W54="Yes",30,IF(W54="Later",15,0))+IFERROR(V54/100*20,0)+IF(L54="Interested",15,IF(L54="Open But Busy",10,IF(L54="Neutral",5,0))),0),"")</f>
        <v/>
      </c>
      <c r="AB54" s="31">
        <f>IFERROR(IF(AA54&gt;=80,"🔥 HOT",IF(AA54&gt;=60,"✅ STRONG",IF(AA54&gt;=40,"⚡ WARM",IF(AA54&gt;=20,"📋 NURTURE",IF(AA54&gt;0,"❌ COLD",""))))),"")</f>
        <v/>
      </c>
      <c r="AC54" s="31">
        <f>IFERROR(IF(AND(AA54&gt;=60,OR(W54="Yes",W54="Later")),"🚨 URGENT",IF(AND(AA54&gt;=40,I54="Call Back"),"📞 CALL BACK",IF(I54="Booked Meeting","📅 BOOKED",IF(I54="Not Interested","🚫 DEAD","⏳ WORKING")))),"")</f>
        <v/>
      </c>
      <c r="AD54" s="42" t="n"/>
      <c r="AE54" s="38" t="n"/>
      <c r="AF54" s="33">
        <f>IFERROR(IF(AE54="","",AE54-TODAY()),"")</f>
        <v/>
      </c>
      <c r="AG54" s="40" t="n"/>
    </row>
    <row r="55" ht="19.5" customHeight="1" s="105">
      <c r="A55" s="44" t="inlineStr">
        <is>
          <t xml:space="preserve">Ponds Plumbing Heating &amp; air </t>
        </is>
      </c>
      <c r="B55" s="23" t="n"/>
      <c r="C55" s="23" t="n"/>
      <c r="D55" s="23" t="n"/>
      <c r="E55" s="44" t="n"/>
      <c r="F55" s="44" t="n"/>
      <c r="G55" s="44" t="n"/>
      <c r="H55" s="23" t="n"/>
      <c r="I55" s="44" t="n"/>
      <c r="J55" s="44" t="n"/>
      <c r="K55" s="23" t="n"/>
      <c r="L55" s="44" t="n"/>
      <c r="M55" s="44" t="n"/>
      <c r="N55" s="44" t="n"/>
      <c r="O55" s="44" t="n"/>
      <c r="P55" s="44" t="n"/>
      <c r="Q55" s="44" t="n"/>
      <c r="R55" s="44" t="n"/>
      <c r="S55" s="44" t="n"/>
      <c r="T55" s="44" t="n"/>
      <c r="U55" s="44" t="n"/>
      <c r="V55" s="21">
        <f>IFERROR(ROUND((IF(Q55="Severe",4,IF(Q55="Moderate",3,IF(Q55="Minor",2,0)))+IF(R55="Severe",4,IF(R55="Moderate",3,IF(R55="Minor",2,0)))+IF(S55="Severe",4,IF(S55="Moderate",3,IF(S55="Minor",2,0)))+IF(T55="Severe",4,IF(T55="Moderate",3,IF(T55="Minor",2,0))))/16*100,0),"")</f>
        <v/>
      </c>
      <c r="W55" s="23" t="n"/>
      <c r="X55" s="44" t="n"/>
      <c r="Y55" s="44" t="n"/>
      <c r="Z55" s="44" t="n"/>
      <c r="AA55" s="22">
        <f>IFERROR(ROUND(IF(H55&gt;=10,30,IF(H55&gt;=5,20,IF(H55&gt;=2,10,0)))+IF(K55="Yes",20,IF(K55="Unsure",10,0))+IF(W55="Yes",30,IF(W55="Later",15,0))+IFERROR(V55/100*20,0)+IF(L55="Interested",15,IF(L55="Open But Busy",10,IF(L55="Neutral",5,0))),0),"")</f>
        <v/>
      </c>
      <c r="AB55" s="23">
        <f>IFERROR(IF(AA55&gt;=80,"🔥 HOT",IF(AA55&gt;=60,"✅ STRONG",IF(AA55&gt;=40,"⚡ WARM",IF(AA55&gt;=20,"📋 NURTURE",IF(AA55&gt;0,"❌ COLD",""))))),"")</f>
        <v/>
      </c>
      <c r="AC55" s="23">
        <f>IFERROR(IF(AND(AA55&gt;=60,OR(W55="Yes",W55="Later")),"🚨 URGENT",IF(AND(AA55&gt;=40,I55="Call Back"),"📞 CALL BACK",IF(I55="Booked Meeting","📅 BOOKED",IF(I55="Not Interested","🚫 DEAD","⏳ WORKING")))),"")</f>
        <v/>
      </c>
      <c r="AD55" s="45" t="n"/>
      <c r="AE55" s="37" t="n"/>
      <c r="AF55" s="25">
        <f>IFERROR(IF(AE55="","",AE55-TODAY()),"")</f>
        <v/>
      </c>
      <c r="AG55" s="44" t="n"/>
    </row>
    <row r="56" ht="19.5" customHeight="1" s="105">
      <c r="A56" s="46" t="inlineStr">
        <is>
          <t>Lee's Heating &amp; Air Conditioning</t>
        </is>
      </c>
      <c r="B56" s="47" t="inlineStr">
        <is>
          <t>(801) 467-1561</t>
        </is>
      </c>
      <c r="C56" s="47" t="inlineStr">
        <is>
          <t>Salt Lake City</t>
        </is>
      </c>
      <c r="D56" s="48" t="inlineStr">
        <is>
          <t>Click Here</t>
        </is>
      </c>
      <c r="E56" s="40" t="n"/>
      <c r="F56" s="40" t="n"/>
      <c r="G56" s="40" t="n"/>
      <c r="H56" s="31" t="n"/>
      <c r="I56" s="40" t="n"/>
      <c r="J56" s="40" t="n"/>
      <c r="K56" s="31" t="n"/>
      <c r="L56" s="40" t="n"/>
      <c r="M56" s="40" t="n"/>
      <c r="N56" s="40" t="n"/>
      <c r="O56" s="40" t="n"/>
      <c r="P56" s="40" t="n"/>
      <c r="Q56" s="40" t="n"/>
      <c r="R56" s="40" t="n"/>
      <c r="S56" s="40" t="n"/>
      <c r="T56" s="40" t="n"/>
      <c r="U56" s="40" t="n"/>
      <c r="V56" s="29">
        <f>IFERROR(ROUND((IF(Q56="Severe",4,IF(Q56="Moderate",3,IF(Q56="Minor",2,0)))+IF(R56="Severe",4,IF(R56="Moderate",3,IF(R56="Minor",2,0)))+IF(S56="Severe",4,IF(S56="Moderate",3,IF(S56="Minor",2,0)))+IF(T56="Severe",4,IF(T56="Moderate",3,IF(T56="Minor",2,0))))/16*100,0),"")</f>
        <v/>
      </c>
      <c r="W56" s="31" t="n"/>
      <c r="X56" s="40" t="n"/>
      <c r="Y56" s="40" t="n"/>
      <c r="Z56" s="40" t="n"/>
      <c r="AA56" s="30">
        <f>IFERROR(ROUND(IF(H56&gt;=10,30,IF(H56&gt;=5,20,IF(H56&gt;=2,10,0)))+IF(K56="Yes",20,IF(K56="Unsure",10,0))+IF(W56="Yes",30,IF(W56="Later",15,0))+IFERROR(V56/100*20,0)+IF(L56="Interested",15,IF(L56="Open But Busy",10,IF(L56="Neutral",5,0))),0),"")</f>
        <v/>
      </c>
      <c r="AB56" s="31">
        <f>IFERROR(IF(AA56&gt;=80,"🔥 HOT",IF(AA56&gt;=60,"✅ STRONG",IF(AA56&gt;=40,"⚡ WARM",IF(AA56&gt;=20,"📋 NURTURE",IF(AA56&gt;0,"❌ COLD",""))))),"")</f>
        <v/>
      </c>
      <c r="AC56" s="31">
        <f>IFERROR(IF(AND(AA56&gt;=60,OR(W56="Yes",W56="Later")),"🚨 URGENT",IF(AND(AA56&gt;=40,I56="Call Back"),"📞 CALL BACK",IF(I56="Booked Meeting","📅 BOOKED",IF(I56="Not Interested","🚫 DEAD","⏳ WORKING")))),"")</f>
        <v/>
      </c>
      <c r="AD56" s="42" t="n"/>
      <c r="AE56" s="38" t="n"/>
      <c r="AF56" s="33">
        <f>IFERROR(IF(AE56="","",AE56-TODAY()),"")</f>
        <v/>
      </c>
      <c r="AG56" s="40" t="n"/>
    </row>
    <row r="57" ht="19.5" customHeight="1" s="105">
      <c r="A57" s="46" t="inlineStr">
        <is>
          <t>Salmon HVAC</t>
        </is>
      </c>
      <c r="B57" s="47" t="inlineStr">
        <is>
          <t>(801) 335-9079</t>
        </is>
      </c>
      <c r="C57" s="47" t="inlineStr">
        <is>
          <t>Centerville</t>
        </is>
      </c>
      <c r="D57" s="48" t="inlineStr">
        <is>
          <t>Click Here</t>
        </is>
      </c>
      <c r="E57" s="44" t="n"/>
      <c r="F57" s="44" t="n"/>
      <c r="G57" s="44" t="n"/>
      <c r="H57" s="23" t="n"/>
      <c r="I57" s="44" t="n"/>
      <c r="J57" s="44" t="n"/>
      <c r="K57" s="23" t="n"/>
      <c r="L57" s="44" t="n"/>
      <c r="M57" s="44" t="n"/>
      <c r="N57" s="44" t="n"/>
      <c r="O57" s="44" t="n"/>
      <c r="P57" s="44" t="n"/>
      <c r="Q57" s="44" t="n"/>
      <c r="R57" s="44" t="n"/>
      <c r="S57" s="44" t="n"/>
      <c r="T57" s="44" t="n"/>
      <c r="U57" s="44" t="n"/>
      <c r="V57" s="21">
        <f>IFERROR(ROUND((IF(Q57="Severe",4,IF(Q57="Moderate",3,IF(Q57="Minor",2,0)))+IF(R57="Severe",4,IF(R57="Moderate",3,IF(R57="Minor",2,0)))+IF(S57="Severe",4,IF(S57="Moderate",3,IF(S57="Minor",2,0)))+IF(T57="Severe",4,IF(T57="Moderate",3,IF(T57="Minor",2,0))))/16*100,0),"")</f>
        <v/>
      </c>
      <c r="W57" s="23" t="n"/>
      <c r="X57" s="44" t="n"/>
      <c r="Y57" s="44" t="n"/>
      <c r="Z57" s="44" t="n"/>
      <c r="AA57" s="22">
        <f>IFERROR(ROUND(IF(H57&gt;=10,30,IF(H57&gt;=5,20,IF(H57&gt;=2,10,0)))+IF(K57="Yes",20,IF(K57="Unsure",10,0))+IF(W57="Yes",30,IF(W57="Later",15,0))+IFERROR(V57/100*20,0)+IF(L57="Interested",15,IF(L57="Open But Busy",10,IF(L57="Neutral",5,0))),0),"")</f>
        <v/>
      </c>
      <c r="AB57" s="23">
        <f>IFERROR(IF(AA57&gt;=80,"🔥 HOT",IF(AA57&gt;=60,"✅ STRONG",IF(AA57&gt;=40,"⚡ WARM",IF(AA57&gt;=20,"📋 NURTURE",IF(AA57&gt;0,"❌ COLD",""))))),"")</f>
        <v/>
      </c>
      <c r="AC57" s="23">
        <f>IFERROR(IF(AND(AA57&gt;=60,OR(W57="Yes",W57="Later")),"🚨 URGENT",IF(AND(AA57&gt;=40,I57="Call Back"),"📞 CALL BACK",IF(I57="Booked Meeting","📅 BOOKED",IF(I57="Not Interested","🚫 DEAD","⏳ WORKING")))),"")</f>
        <v/>
      </c>
      <c r="AD57" s="45" t="n"/>
      <c r="AE57" s="37" t="n"/>
      <c r="AF57" s="25">
        <f>IFERROR(IF(AE57="","",AE57-TODAY()),"")</f>
        <v/>
      </c>
      <c r="AG57" s="44" t="n"/>
    </row>
    <row r="58" ht="19.5" customHeight="1" s="105">
      <c r="A58" s="46" t="inlineStr">
        <is>
          <t>Any Hour Services</t>
        </is>
      </c>
      <c r="B58" s="47" t="inlineStr">
        <is>
          <t>(801) 784-0445</t>
        </is>
      </c>
      <c r="C58" s="47" t="inlineStr">
        <is>
          <t>American Fork</t>
        </is>
      </c>
      <c r="D58" s="48" t="inlineStr">
        <is>
          <t>Click Here</t>
        </is>
      </c>
      <c r="E58" s="40" t="n"/>
      <c r="F58" s="40" t="n"/>
      <c r="G58" s="40" t="n"/>
      <c r="H58" s="31" t="n"/>
      <c r="I58" s="40" t="n"/>
      <c r="J58" s="40" t="n"/>
      <c r="K58" s="31" t="n"/>
      <c r="L58" s="40" t="n"/>
      <c r="M58" s="40" t="n"/>
      <c r="N58" s="40" t="n"/>
      <c r="O58" s="40" t="n"/>
      <c r="P58" s="40" t="n"/>
      <c r="Q58" s="40" t="n"/>
      <c r="R58" s="40" t="n"/>
      <c r="S58" s="40" t="n"/>
      <c r="T58" s="40" t="n"/>
      <c r="U58" s="40" t="n"/>
      <c r="V58" s="29">
        <f>IFERROR(ROUND((IF(Q58="Severe",4,IF(Q58="Moderate",3,IF(Q58="Minor",2,0)))+IF(R58="Severe",4,IF(R58="Moderate",3,IF(R58="Minor",2,0)))+IF(S58="Severe",4,IF(S58="Moderate",3,IF(S58="Minor",2,0)))+IF(T58="Severe",4,IF(T58="Moderate",3,IF(T58="Minor",2,0))))/16*100,0),"")</f>
        <v/>
      </c>
      <c r="W58" s="31" t="n"/>
      <c r="X58" s="40" t="n"/>
      <c r="Y58" s="40" t="n"/>
      <c r="Z58" s="40" t="n"/>
      <c r="AA58" s="30">
        <f>IFERROR(ROUND(IF(H58&gt;=10,30,IF(H58&gt;=5,20,IF(H58&gt;=2,10,0)))+IF(K58="Yes",20,IF(K58="Unsure",10,0))+IF(W58="Yes",30,IF(W58="Later",15,0))+IFERROR(V58/100*20,0)+IF(L58="Interested",15,IF(L58="Open But Busy",10,IF(L58="Neutral",5,0))),0),"")</f>
        <v/>
      </c>
      <c r="AB58" s="31">
        <f>IFERROR(IF(AA58&gt;=80,"🔥 HOT",IF(AA58&gt;=60,"✅ STRONG",IF(AA58&gt;=40,"⚡ WARM",IF(AA58&gt;=20,"📋 NURTURE",IF(AA58&gt;0,"❌ COLD",""))))),"")</f>
        <v/>
      </c>
      <c r="AC58" s="31">
        <f>IFERROR(IF(AND(AA58&gt;=60,OR(W58="Yes",W58="Later")),"🚨 URGENT",IF(AND(AA58&gt;=40,I58="Call Back"),"📞 CALL BACK",IF(I58="Booked Meeting","📅 BOOKED",IF(I58="Not Interested","🚫 DEAD","⏳ WORKING")))),"")</f>
        <v/>
      </c>
      <c r="AD58" s="42" t="n"/>
      <c r="AE58" s="38" t="n"/>
      <c r="AF58" s="33">
        <f>IFERROR(IF(AE58="","",AE58-TODAY()),"")</f>
        <v/>
      </c>
      <c r="AG58" s="40" t="n"/>
    </row>
    <row r="59" ht="19.5" customHeight="1" s="105">
      <c r="A59" s="46" t="inlineStr">
        <is>
          <t>Utah Heating and Cooling</t>
        </is>
      </c>
      <c r="B59" s="47" t="inlineStr">
        <is>
          <t>(801) 888-5350</t>
        </is>
      </c>
      <c r="C59" s="47" t="inlineStr">
        <is>
          <t>Sandy</t>
        </is>
      </c>
      <c r="D59" s="48" t="inlineStr">
        <is>
          <t>Click Here</t>
        </is>
      </c>
      <c r="E59" s="44" t="n"/>
      <c r="F59" s="44" t="n"/>
      <c r="G59" s="44" t="n"/>
      <c r="H59" s="23" t="n"/>
      <c r="I59" s="44" t="n"/>
      <c r="J59" s="44" t="n"/>
      <c r="K59" s="23" t="n"/>
      <c r="L59" s="44" t="n"/>
      <c r="M59" s="44" t="n"/>
      <c r="N59" s="44" t="n"/>
      <c r="O59" s="44" t="n"/>
      <c r="P59" s="44" t="n"/>
      <c r="Q59" s="44" t="n"/>
      <c r="R59" s="44" t="n"/>
      <c r="S59" s="44" t="n"/>
      <c r="T59" s="44" t="n"/>
      <c r="U59" s="44" t="n"/>
      <c r="V59" s="21">
        <f>IFERROR(ROUND((IF(Q59="Severe",4,IF(Q59="Moderate",3,IF(Q59="Minor",2,0)))+IF(R59="Severe",4,IF(R59="Moderate",3,IF(R59="Minor",2,0)))+IF(S59="Severe",4,IF(S59="Moderate",3,IF(S59="Minor",2,0)))+IF(T59="Severe",4,IF(T59="Moderate",3,IF(T59="Minor",2,0))))/16*100,0),"")</f>
        <v/>
      </c>
      <c r="W59" s="23" t="n"/>
      <c r="X59" s="44" t="n"/>
      <c r="Y59" s="44" t="n"/>
      <c r="Z59" s="44" t="n"/>
      <c r="AA59" s="22">
        <f>IFERROR(ROUND(IF(H59&gt;=10,30,IF(H59&gt;=5,20,IF(H59&gt;=2,10,0)))+IF(K59="Yes",20,IF(K59="Unsure",10,0))+IF(W59="Yes",30,IF(W59="Later",15,0))+IFERROR(V59/100*20,0)+IF(L59="Interested",15,IF(L59="Open But Busy",10,IF(L59="Neutral",5,0))),0),"")</f>
        <v/>
      </c>
      <c r="AB59" s="23">
        <f>IFERROR(IF(AA59&gt;=80,"🔥 HOT",IF(AA59&gt;=60,"✅ STRONG",IF(AA59&gt;=40,"⚡ WARM",IF(AA59&gt;=20,"📋 NURTURE",IF(AA59&gt;0,"❌ COLD",""))))),"")</f>
        <v/>
      </c>
      <c r="AC59" s="23">
        <f>IFERROR(IF(AND(AA59&gt;=60,OR(W59="Yes",W59="Later")),"🚨 URGENT",IF(AND(AA59&gt;=40,I59="Call Back"),"📞 CALL BACK",IF(I59="Booked Meeting","📅 BOOKED",IF(I59="Not Interested","🚫 DEAD","⏳ WORKING")))),"")</f>
        <v/>
      </c>
      <c r="AD59" s="45" t="n"/>
      <c r="AE59" s="37" t="n"/>
      <c r="AF59" s="25">
        <f>IFERROR(IF(AE59="","",AE59-TODAY()),"")</f>
        <v/>
      </c>
      <c r="AG59" s="44" t="n"/>
    </row>
    <row r="60" ht="19.5" customHeight="1" s="105">
      <c r="A60" s="46" t="inlineStr">
        <is>
          <t>Paradise Heating and Air</t>
        </is>
      </c>
      <c r="B60" s="47" t="inlineStr">
        <is>
          <t>(801) 505-9535</t>
        </is>
      </c>
      <c r="C60" s="47" t="inlineStr">
        <is>
          <t>Salt Lake City</t>
        </is>
      </c>
      <c r="D60" s="48" t="inlineStr">
        <is>
          <t>Click Here</t>
        </is>
      </c>
      <c r="E60" s="40" t="n"/>
      <c r="F60" s="40" t="n"/>
      <c r="G60" s="40" t="n"/>
      <c r="H60" s="31" t="n"/>
      <c r="I60" s="40" t="n"/>
      <c r="J60" s="40" t="n"/>
      <c r="K60" s="31" t="n"/>
      <c r="L60" s="40" t="n"/>
      <c r="M60" s="40" t="n"/>
      <c r="N60" s="40" t="n"/>
      <c r="O60" s="40" t="n"/>
      <c r="P60" s="40" t="n"/>
      <c r="Q60" s="40" t="n"/>
      <c r="R60" s="40" t="n"/>
      <c r="S60" s="40" t="n"/>
      <c r="T60" s="40" t="n"/>
      <c r="U60" s="40" t="n"/>
      <c r="V60" s="29">
        <f>IFERROR(ROUND((IF(Q60="Severe",4,IF(Q60="Moderate",3,IF(Q60="Minor",2,0)))+IF(R60="Severe",4,IF(R60="Moderate",3,IF(R60="Minor",2,0)))+IF(S60="Severe",4,IF(S60="Moderate",3,IF(S60="Minor",2,0)))+IF(T60="Severe",4,IF(T60="Moderate",3,IF(T60="Minor",2,0))))/16*100,0),"")</f>
        <v/>
      </c>
      <c r="W60" s="31" t="n"/>
      <c r="X60" s="40" t="n"/>
      <c r="Y60" s="40" t="n"/>
      <c r="Z60" s="40" t="n"/>
      <c r="AA60" s="30">
        <f>IFERROR(ROUND(IF(H60&gt;=10,30,IF(H60&gt;=5,20,IF(H60&gt;=2,10,0)))+IF(K60="Yes",20,IF(K60="Unsure",10,0))+IF(W60="Yes",30,IF(W60="Later",15,0))+IFERROR(V60/100*20,0)+IF(L60="Interested",15,IF(L60="Open But Busy",10,IF(L60="Neutral",5,0))),0),"")</f>
        <v/>
      </c>
      <c r="AB60" s="31">
        <f>IFERROR(IF(AA60&gt;=80,"🔥 HOT",IF(AA60&gt;=60,"✅ STRONG",IF(AA60&gt;=40,"⚡ WARM",IF(AA60&gt;=20,"📋 NURTURE",IF(AA60&gt;0,"❌ COLD",""))))),"")</f>
        <v/>
      </c>
      <c r="AC60" s="31">
        <f>IFERROR(IF(AND(AA60&gt;=60,OR(W60="Yes",W60="Later")),"🚨 URGENT",IF(AND(AA60&gt;=40,I60="Call Back"),"📞 CALL BACK",IF(I60="Booked Meeting","📅 BOOKED",IF(I60="Not Interested","🚫 DEAD","⏳ WORKING")))),"")</f>
        <v/>
      </c>
      <c r="AD60" s="42" t="n"/>
      <c r="AE60" s="38" t="n"/>
      <c r="AF60" s="33">
        <f>IFERROR(IF(AE60="","",AE60-TODAY()),"")</f>
        <v/>
      </c>
      <c r="AG60" s="40" t="n"/>
    </row>
    <row r="61" ht="19.5" customHeight="1" s="105">
      <c r="A61" s="46" t="inlineStr">
        <is>
          <t>True Pros HVAC</t>
        </is>
      </c>
      <c r="B61" s="47" t="inlineStr">
        <is>
          <t>(801) 499-9696</t>
        </is>
      </c>
      <c r="C61" s="47" t="inlineStr">
        <is>
          <t>Salt Lake City</t>
        </is>
      </c>
      <c r="D61" s="48" t="inlineStr">
        <is>
          <t>Click Here</t>
        </is>
      </c>
      <c r="E61" s="44" t="n"/>
      <c r="F61" s="44" t="n"/>
      <c r="G61" s="44" t="n"/>
      <c r="H61" s="23" t="n"/>
      <c r="I61" s="44" t="n"/>
      <c r="J61" s="44" t="n"/>
      <c r="K61" s="23" t="n"/>
      <c r="L61" s="44" t="n"/>
      <c r="M61" s="44" t="n"/>
      <c r="N61" s="44" t="n"/>
      <c r="O61" s="44" t="n"/>
      <c r="P61" s="44" t="n"/>
      <c r="Q61" s="44" t="n"/>
      <c r="R61" s="44" t="n"/>
      <c r="S61" s="44" t="n"/>
      <c r="T61" s="44" t="n"/>
      <c r="U61" s="44" t="n"/>
      <c r="V61" s="21">
        <f>IFERROR(ROUND((IF(Q61="Severe",4,IF(Q61="Moderate",3,IF(Q61="Minor",2,0)))+IF(R61="Severe",4,IF(R61="Moderate",3,IF(R61="Minor",2,0)))+IF(S61="Severe",4,IF(S61="Moderate",3,IF(S61="Minor",2,0)))+IF(T61="Severe",4,IF(T61="Moderate",3,IF(T61="Minor",2,0))))/16*100,0),"")</f>
        <v/>
      </c>
      <c r="W61" s="23" t="n"/>
      <c r="X61" s="44" t="n"/>
      <c r="Y61" s="44" t="n"/>
      <c r="Z61" s="44" t="n"/>
      <c r="AA61" s="22">
        <f>IFERROR(ROUND(IF(H61&gt;=10,30,IF(H61&gt;=5,20,IF(H61&gt;=2,10,0)))+IF(K61="Yes",20,IF(K61="Unsure",10,0))+IF(W61="Yes",30,IF(W61="Later",15,0))+IFERROR(V61/100*20,0)+IF(L61="Interested",15,IF(L61="Open But Busy",10,IF(L61="Neutral",5,0))),0),"")</f>
        <v/>
      </c>
      <c r="AB61" s="23">
        <f>IFERROR(IF(AA61&gt;=80,"🔥 HOT",IF(AA61&gt;=60,"✅ STRONG",IF(AA61&gt;=40,"⚡ WARM",IF(AA61&gt;=20,"📋 NURTURE",IF(AA61&gt;0,"❌ COLD",""))))),"")</f>
        <v/>
      </c>
      <c r="AC61" s="23">
        <f>IFERROR(IF(AND(AA61&gt;=60,OR(W61="Yes",W61="Later")),"🚨 URGENT",IF(AND(AA61&gt;=40,I61="Call Back"),"📞 CALL BACK",IF(I61="Booked Meeting","📅 BOOKED",IF(I61="Not Interested","🚫 DEAD","⏳ WORKING")))),"")</f>
        <v/>
      </c>
      <c r="AD61" s="45" t="n"/>
      <c r="AE61" s="37" t="n"/>
      <c r="AF61" s="25">
        <f>IFERROR(IF(AE61="","",AE61-TODAY()),"")</f>
        <v/>
      </c>
      <c r="AG61" s="44" t="n"/>
    </row>
    <row r="62" ht="19.5" customHeight="1" s="105">
      <c r="A62" s="46" t="inlineStr">
        <is>
          <t>Husky Heating and Air</t>
        </is>
      </c>
      <c r="B62" s="47" t="inlineStr">
        <is>
          <t>(801) 224-8899</t>
        </is>
      </c>
      <c r="C62" s="47" t="inlineStr">
        <is>
          <t>South Jordan</t>
        </is>
      </c>
      <c r="D62" s="48" t="inlineStr">
        <is>
          <t>Click Here</t>
        </is>
      </c>
      <c r="E62" s="40" t="n"/>
      <c r="F62" s="40" t="n"/>
      <c r="G62" s="40" t="n"/>
      <c r="H62" s="31" t="n"/>
      <c r="I62" s="40" t="n"/>
      <c r="J62" s="40" t="n"/>
      <c r="K62" s="31" t="n"/>
      <c r="L62" s="40" t="n"/>
      <c r="M62" s="40" t="n"/>
      <c r="N62" s="40" t="n"/>
      <c r="O62" s="40" t="n"/>
      <c r="P62" s="40" t="n"/>
      <c r="Q62" s="40" t="n"/>
      <c r="R62" s="40" t="n"/>
      <c r="S62" s="40" t="n"/>
      <c r="T62" s="40" t="n"/>
      <c r="U62" s="40" t="n"/>
      <c r="V62" s="29">
        <f>IFERROR(ROUND((IF(Q62="Severe",4,IF(Q62="Moderate",3,IF(Q62="Minor",2,0)))+IF(R62="Severe",4,IF(R62="Moderate",3,IF(R62="Minor",2,0)))+IF(S62="Severe",4,IF(S62="Moderate",3,IF(S62="Minor",2,0)))+IF(T62="Severe",4,IF(T62="Moderate",3,IF(T62="Minor",2,0))))/16*100,0),"")</f>
        <v/>
      </c>
      <c r="W62" s="31" t="n"/>
      <c r="X62" s="40" t="n"/>
      <c r="Y62" s="40" t="n"/>
      <c r="Z62" s="40" t="n"/>
      <c r="AA62" s="30">
        <f>IFERROR(ROUND(IF(H62&gt;=10,30,IF(H62&gt;=5,20,IF(H62&gt;=2,10,0)))+IF(K62="Yes",20,IF(K62="Unsure",10,0))+IF(W62="Yes",30,IF(W62="Later",15,0))+IFERROR(V62/100*20,0)+IF(L62="Interested",15,IF(L62="Open But Busy",10,IF(L62="Neutral",5,0))),0),"")</f>
        <v/>
      </c>
      <c r="AB62" s="31">
        <f>IFERROR(IF(AA62&gt;=80,"🔥 HOT",IF(AA62&gt;=60,"✅ STRONG",IF(AA62&gt;=40,"⚡ WARM",IF(AA62&gt;=20,"📋 NURTURE",IF(AA62&gt;0,"❌ COLD",""))))),"")</f>
        <v/>
      </c>
      <c r="AC62" s="31">
        <f>IFERROR(IF(AND(AA62&gt;=60,OR(W62="Yes",W62="Later")),"🚨 URGENT",IF(AND(AA62&gt;=40,I62="Call Back"),"📞 CALL BACK",IF(I62="Booked Meeting","📅 BOOKED",IF(I62="Not Interested","🚫 DEAD","⏳ WORKING")))),"")</f>
        <v/>
      </c>
      <c r="AD62" s="42" t="n"/>
      <c r="AE62" s="38" t="n"/>
      <c r="AF62" s="33">
        <f>IFERROR(IF(AE62="","",AE62-TODAY()),"")</f>
        <v/>
      </c>
      <c r="AG62" s="40" t="n"/>
    </row>
    <row r="63" ht="19.5" customHeight="1" s="105">
      <c r="A63" s="46" t="inlineStr">
        <is>
          <t>Blue Best Plumbing Heating &amp; Air</t>
        </is>
      </c>
      <c r="B63" s="47" t="inlineStr">
        <is>
          <t>(801) 613-0699</t>
        </is>
      </c>
      <c r="C63" s="47" t="inlineStr">
        <is>
          <t>Bountiful</t>
        </is>
      </c>
      <c r="D63" s="48" t="inlineStr">
        <is>
          <t>Click Here</t>
        </is>
      </c>
      <c r="E63" s="44" t="n"/>
      <c r="F63" s="44" t="n"/>
      <c r="G63" s="44" t="n"/>
      <c r="H63" s="23" t="n"/>
      <c r="I63" s="44" t="n"/>
      <c r="J63" s="44" t="n"/>
      <c r="K63" s="23" t="n"/>
      <c r="L63" s="44" t="n"/>
      <c r="M63" s="44" t="n"/>
      <c r="N63" s="44" t="n"/>
      <c r="O63" s="44" t="n"/>
      <c r="P63" s="44" t="n"/>
      <c r="Q63" s="44" t="n"/>
      <c r="R63" s="44" t="n"/>
      <c r="S63" s="44" t="n"/>
      <c r="T63" s="44" t="n"/>
      <c r="U63" s="44" t="n"/>
      <c r="V63" s="21">
        <f>IFERROR(ROUND((IF(Q63="Severe",4,IF(Q63="Moderate",3,IF(Q63="Minor",2,0)))+IF(R63="Severe",4,IF(R63="Moderate",3,IF(R63="Minor",2,0)))+IF(S63="Severe",4,IF(S63="Moderate",3,IF(S63="Minor",2,0)))+IF(T63="Severe",4,IF(T63="Moderate",3,IF(T63="Minor",2,0))))/16*100,0),"")</f>
        <v/>
      </c>
      <c r="W63" s="23" t="n"/>
      <c r="X63" s="44" t="n"/>
      <c r="Y63" s="44" t="n"/>
      <c r="Z63" s="44" t="n"/>
      <c r="AA63" s="22">
        <f>IFERROR(ROUND(IF(H63&gt;=10,30,IF(H63&gt;=5,20,IF(H63&gt;=2,10,0)))+IF(K63="Yes",20,IF(K63="Unsure",10,0))+IF(W63="Yes",30,IF(W63="Later",15,0))+IFERROR(V63/100*20,0)+IF(L63="Interested",15,IF(L63="Open But Busy",10,IF(L63="Neutral",5,0))),0),"")</f>
        <v/>
      </c>
      <c r="AB63" s="23">
        <f>IFERROR(IF(AA63&gt;=80,"🔥 HOT",IF(AA63&gt;=60,"✅ STRONG",IF(AA63&gt;=40,"⚡ WARM",IF(AA63&gt;=20,"📋 NURTURE",IF(AA63&gt;0,"❌ COLD",""))))),"")</f>
        <v/>
      </c>
      <c r="AC63" s="23">
        <f>IFERROR(IF(AND(AA63&gt;=60,OR(W63="Yes",W63="Later")),"🚨 URGENT",IF(AND(AA63&gt;=40,I63="Call Back"),"📞 CALL BACK",IF(I63="Booked Meeting","📅 BOOKED",IF(I63="Not Interested","🚫 DEAD","⏳ WORKING")))),"")</f>
        <v/>
      </c>
      <c r="AD63" s="45" t="n"/>
      <c r="AE63" s="37" t="n"/>
      <c r="AF63" s="25">
        <f>IFERROR(IF(AE63="","",AE63-TODAY()),"")</f>
        <v/>
      </c>
      <c r="AG63" s="44" t="n"/>
    </row>
    <row r="64" ht="19.5" customHeight="1" s="105">
      <c r="A64" s="46" t="inlineStr">
        <is>
          <t>High Country HVAC</t>
        </is>
      </c>
      <c r="B64" s="47" t="inlineStr">
        <is>
          <t>(801) 296-0477</t>
        </is>
      </c>
      <c r="C64" s="47" t="inlineStr">
        <is>
          <t>Centerville</t>
        </is>
      </c>
      <c r="D64" s="49" t="inlineStr">
        <is>
          <t>N/A</t>
        </is>
      </c>
      <c r="E64" s="40" t="n"/>
      <c r="F64" s="40" t="n"/>
      <c r="G64" s="40" t="n"/>
      <c r="H64" s="31" t="n"/>
      <c r="I64" s="40" t="n"/>
      <c r="J64" s="40" t="n"/>
      <c r="K64" s="31" t="n"/>
      <c r="L64" s="40" t="n"/>
      <c r="M64" s="40" t="n"/>
      <c r="N64" s="40" t="n"/>
      <c r="O64" s="40" t="n"/>
      <c r="P64" s="40" t="n"/>
      <c r="Q64" s="40" t="n"/>
      <c r="R64" s="40" t="n"/>
      <c r="S64" s="40" t="n"/>
      <c r="T64" s="40" t="n"/>
      <c r="U64" s="40" t="n"/>
      <c r="V64" s="29">
        <f>IFERROR(ROUND((IF(Q64="Severe",4,IF(Q64="Moderate",3,IF(Q64="Minor",2,0)))+IF(R64="Severe",4,IF(R64="Moderate",3,IF(R64="Minor",2,0)))+IF(S64="Severe",4,IF(S64="Moderate",3,IF(S64="Minor",2,0)))+IF(T64="Severe",4,IF(T64="Moderate",3,IF(T64="Minor",2,0))))/16*100,0),"")</f>
        <v/>
      </c>
      <c r="W64" s="31" t="n"/>
      <c r="X64" s="40" t="n"/>
      <c r="Y64" s="40" t="n"/>
      <c r="Z64" s="40" t="n"/>
      <c r="AA64" s="30">
        <f>IFERROR(ROUND(IF(H64&gt;=10,30,IF(H64&gt;=5,20,IF(H64&gt;=2,10,0)))+IF(K64="Yes",20,IF(K64="Unsure",10,0))+IF(W64="Yes",30,IF(W64="Later",15,0))+IFERROR(V64/100*20,0)+IF(L64="Interested",15,IF(L64="Open But Busy",10,IF(L64="Neutral",5,0))),0),"")</f>
        <v/>
      </c>
      <c r="AB64" s="31">
        <f>IFERROR(IF(AA64&gt;=80,"🔥 HOT",IF(AA64&gt;=60,"✅ STRONG",IF(AA64&gt;=40,"⚡ WARM",IF(AA64&gt;=20,"📋 NURTURE",IF(AA64&gt;0,"❌ COLD",""))))),"")</f>
        <v/>
      </c>
      <c r="AC64" s="31">
        <f>IFERROR(IF(AND(AA64&gt;=60,OR(W64="Yes",W64="Later")),"🚨 URGENT",IF(AND(AA64&gt;=40,I64="Call Back"),"📞 CALL BACK",IF(I64="Booked Meeting","📅 BOOKED",IF(I64="Not Interested","🚫 DEAD","⏳ WORKING")))),"")</f>
        <v/>
      </c>
      <c r="AD64" s="42" t="n"/>
      <c r="AE64" s="38" t="n"/>
      <c r="AF64" s="33">
        <f>IFERROR(IF(AE64="","",AE64-TODAY()),"")</f>
        <v/>
      </c>
      <c r="AG64" s="40" t="n"/>
    </row>
    <row r="65" ht="19.5" customHeight="1" s="105">
      <c r="A65" s="46" t="inlineStr">
        <is>
          <t>HVAC Construction Inc</t>
        </is>
      </c>
      <c r="B65" s="47" t="inlineStr">
        <is>
          <t>(801) 298-4822</t>
        </is>
      </c>
      <c r="C65" s="47" t="inlineStr">
        <is>
          <t>North Salt Lake</t>
        </is>
      </c>
      <c r="D65" s="49" t="inlineStr">
        <is>
          <t>N/A</t>
        </is>
      </c>
      <c r="E65" s="44" t="n"/>
      <c r="F65" s="44" t="n"/>
      <c r="G65" s="44" t="n"/>
      <c r="H65" s="23" t="n"/>
      <c r="I65" s="44" t="n"/>
      <c r="J65" s="44" t="n"/>
      <c r="K65" s="23" t="n"/>
      <c r="L65" s="44" t="n"/>
      <c r="M65" s="44" t="n"/>
      <c r="N65" s="44" t="n"/>
      <c r="O65" s="44" t="n"/>
      <c r="P65" s="44" t="n"/>
      <c r="Q65" s="44" t="n"/>
      <c r="R65" s="44" t="n"/>
      <c r="S65" s="44" t="n"/>
      <c r="T65" s="44" t="n"/>
      <c r="U65" s="44" t="n"/>
      <c r="V65" s="21">
        <f>IFERROR(ROUND((IF(Q65="Severe",4,IF(Q65="Moderate",3,IF(Q65="Minor",2,0)))+IF(R65="Severe",4,IF(R65="Moderate",3,IF(R65="Minor",2,0)))+IF(S65="Severe",4,IF(S65="Moderate",3,IF(S65="Minor",2,0)))+IF(T65="Severe",4,IF(T65="Moderate",3,IF(T65="Minor",2,0))))/16*100,0),"")</f>
        <v/>
      </c>
      <c r="W65" s="23" t="n"/>
      <c r="X65" s="44" t="n"/>
      <c r="Y65" s="44" t="n"/>
      <c r="Z65" s="44" t="n"/>
      <c r="AA65" s="22">
        <f>IFERROR(ROUND(IF(H65&gt;=10,30,IF(H65&gt;=5,20,IF(H65&gt;=2,10,0)))+IF(K65="Yes",20,IF(K65="Unsure",10,0))+IF(W65="Yes",30,IF(W65="Later",15,0))+IFERROR(V65/100*20,0)+IF(L65="Interested",15,IF(L65="Open But Busy",10,IF(L65="Neutral",5,0))),0),"")</f>
        <v/>
      </c>
      <c r="AB65" s="23">
        <f>IFERROR(IF(AA65&gt;=80,"🔥 HOT",IF(AA65&gt;=60,"✅ STRONG",IF(AA65&gt;=40,"⚡ WARM",IF(AA65&gt;=20,"📋 NURTURE",IF(AA65&gt;0,"❌ COLD",""))))),"")</f>
        <v/>
      </c>
      <c r="AC65" s="23">
        <f>IFERROR(IF(AND(AA65&gt;=60,OR(W65="Yes",W65="Later")),"🚨 URGENT",IF(AND(AA65&gt;=40,I65="Call Back"),"📞 CALL BACK",IF(I65="Booked Meeting","📅 BOOKED",IF(I65="Not Interested","🚫 DEAD","⏳ WORKING")))),"")</f>
        <v/>
      </c>
      <c r="AD65" s="45" t="n"/>
      <c r="AE65" s="37" t="n"/>
      <c r="AF65" s="25">
        <f>IFERROR(IF(AE65="","",AE65-TODAY()),"")</f>
        <v/>
      </c>
      <c r="AG65" s="44" t="n"/>
    </row>
    <row r="66" ht="19.5" customHeight="1" s="105">
      <c r="A66" s="46" t="inlineStr">
        <is>
          <t>KC Heating &amp; Air Conditioning</t>
        </is>
      </c>
      <c r="B66" s="47" t="inlineStr">
        <is>
          <t>(801) 268-0692</t>
        </is>
      </c>
      <c r="C66" s="47" t="inlineStr">
        <is>
          <t>Murray</t>
        </is>
      </c>
      <c r="D66" s="49" t="inlineStr">
        <is>
          <t>N/A</t>
        </is>
      </c>
      <c r="E66" s="40" t="n"/>
      <c r="F66" s="40" t="n"/>
      <c r="G66" s="40" t="n"/>
      <c r="H66" s="31" t="n"/>
      <c r="I66" s="40" t="n"/>
      <c r="J66" s="40" t="n"/>
      <c r="K66" s="31" t="n"/>
      <c r="L66" s="40" t="n"/>
      <c r="M66" s="40" t="n"/>
      <c r="N66" s="40" t="n"/>
      <c r="O66" s="40" t="n"/>
      <c r="P66" s="40" t="n"/>
      <c r="Q66" s="40" t="n"/>
      <c r="R66" s="40" t="n"/>
      <c r="S66" s="40" t="n"/>
      <c r="T66" s="40" t="n"/>
      <c r="U66" s="40" t="n"/>
      <c r="V66" s="29">
        <f>IFERROR(ROUND((IF(Q66="Severe",4,IF(Q66="Moderate",3,IF(Q66="Minor",2,0)))+IF(R66="Severe",4,IF(R66="Moderate",3,IF(R66="Minor",2,0)))+IF(S66="Severe",4,IF(S66="Moderate",3,IF(S66="Minor",2,0)))+IF(T66="Severe",4,IF(T66="Moderate",3,IF(T66="Minor",2,0))))/16*100,0),"")</f>
        <v/>
      </c>
      <c r="W66" s="31" t="n"/>
      <c r="X66" s="40" t="n"/>
      <c r="Y66" s="40" t="n"/>
      <c r="Z66" s="40" t="n"/>
      <c r="AA66" s="30">
        <f>IFERROR(ROUND(IF(H66&gt;=10,30,IF(H66&gt;=5,20,IF(H66&gt;=2,10,0)))+IF(K66="Yes",20,IF(K66="Unsure",10,0))+IF(W66="Yes",30,IF(W66="Later",15,0))+IFERROR(V66/100*20,0)+IF(L66="Interested",15,IF(L66="Open But Busy",10,IF(L66="Neutral",5,0))),0),"")</f>
        <v/>
      </c>
      <c r="AB66" s="31">
        <f>IFERROR(IF(AA66&gt;=80,"🔥 HOT",IF(AA66&gt;=60,"✅ STRONG",IF(AA66&gt;=40,"⚡ WARM",IF(AA66&gt;=20,"📋 NURTURE",IF(AA66&gt;0,"❌ COLD",""))))),"")</f>
        <v/>
      </c>
      <c r="AC66" s="31">
        <f>IFERROR(IF(AND(AA66&gt;=60,OR(W66="Yes",W66="Later")),"🚨 URGENT",IF(AND(AA66&gt;=40,I66="Call Back"),"📞 CALL BACK",IF(I66="Booked Meeting","📅 BOOKED",IF(I66="Not Interested","🚫 DEAD","⏳ WORKING")))),"")</f>
        <v/>
      </c>
      <c r="AD66" s="42" t="n"/>
      <c r="AE66" s="38" t="n"/>
      <c r="AF66" s="33">
        <f>IFERROR(IF(AE66="","",AE66-TODAY()),"")</f>
        <v/>
      </c>
      <c r="AG66" s="40" t="n"/>
    </row>
    <row r="67" ht="19.5" customHeight="1" s="105">
      <c r="A67" s="46" t="inlineStr">
        <is>
          <t>Golden Rule Plumbing Heating &amp; Air</t>
        </is>
      </c>
      <c r="B67" s="47" t="inlineStr">
        <is>
          <t>(801) 386-6400</t>
        </is>
      </c>
      <c r="C67" s="47" t="inlineStr">
        <is>
          <t>Salt Lake City</t>
        </is>
      </c>
      <c r="D67" s="48" t="inlineStr">
        <is>
          <t>Click Here</t>
        </is>
      </c>
      <c r="E67" s="44" t="n"/>
      <c r="F67" s="44" t="n"/>
      <c r="G67" s="44" t="n"/>
      <c r="H67" s="23" t="n"/>
      <c r="I67" s="44" t="n"/>
      <c r="J67" s="44" t="n"/>
      <c r="K67" s="23" t="n"/>
      <c r="L67" s="44" t="n"/>
      <c r="M67" s="44" t="n"/>
      <c r="N67" s="44" t="n"/>
      <c r="O67" s="44" t="n"/>
      <c r="P67" s="44" t="n"/>
      <c r="Q67" s="44" t="n"/>
      <c r="R67" s="44" t="n"/>
      <c r="S67" s="44" t="n"/>
      <c r="T67" s="44" t="n"/>
      <c r="U67" s="44" t="n"/>
      <c r="V67" s="21">
        <f>IFERROR(ROUND((IF(Q67="Severe",4,IF(Q67="Moderate",3,IF(Q67="Minor",2,0)))+IF(R67="Severe",4,IF(R67="Moderate",3,IF(R67="Minor",2,0)))+IF(S67="Severe",4,IF(S67="Moderate",3,IF(S67="Minor",2,0)))+IF(T67="Severe",4,IF(T67="Moderate",3,IF(T67="Minor",2,0))))/16*100,0),"")</f>
        <v/>
      </c>
      <c r="W67" s="23" t="n"/>
      <c r="X67" s="44" t="n"/>
      <c r="Y67" s="44" t="n"/>
      <c r="Z67" s="44" t="n"/>
      <c r="AA67" s="22">
        <f>IFERROR(ROUND(IF(H67&gt;=10,30,IF(H67&gt;=5,20,IF(H67&gt;=2,10,0)))+IF(K67="Yes",20,IF(K67="Unsure",10,0))+IF(W67="Yes",30,IF(W67="Later",15,0))+IFERROR(V67/100*20,0)+IF(L67="Interested",15,IF(L67="Open But Busy",10,IF(L67="Neutral",5,0))),0),"")</f>
        <v/>
      </c>
      <c r="AB67" s="23">
        <f>IFERROR(IF(AA67&gt;=80,"🔥 HOT",IF(AA67&gt;=60,"✅ STRONG",IF(AA67&gt;=40,"⚡ WARM",IF(AA67&gt;=20,"📋 NURTURE",IF(AA67&gt;0,"❌ COLD",""))))),"")</f>
        <v/>
      </c>
      <c r="AC67" s="23">
        <f>IFERROR(IF(AND(AA67&gt;=60,OR(W67="Yes",W67="Later")),"🚨 URGENT",IF(AND(AA67&gt;=40,I67="Call Back"),"📞 CALL BACK",IF(I67="Booked Meeting","📅 BOOKED",IF(I67="Not Interested","🚫 DEAD","⏳ WORKING")))),"")</f>
        <v/>
      </c>
      <c r="AD67" s="45" t="n"/>
      <c r="AE67" s="37" t="n"/>
      <c r="AF67" s="25">
        <f>IFERROR(IF(AE67="","",AE67-TODAY()),"")</f>
        <v/>
      </c>
      <c r="AG67" s="44" t="n"/>
    </row>
    <row r="68" ht="19.5" customHeight="1" s="105">
      <c r="A68" s="46" t="inlineStr">
        <is>
          <t>Breathe Easy HVAC</t>
        </is>
      </c>
      <c r="B68" s="47" t="inlineStr">
        <is>
          <t>(801) 574-5742</t>
        </is>
      </c>
      <c r="C68" s="47" t="inlineStr">
        <is>
          <t>Salt Lake City</t>
        </is>
      </c>
      <c r="D68" s="49" t="inlineStr">
        <is>
          <t>N/A</t>
        </is>
      </c>
      <c r="E68" s="40" t="n"/>
      <c r="F68" s="40" t="n"/>
      <c r="G68" s="40" t="n"/>
      <c r="H68" s="31" t="n"/>
      <c r="I68" s="40" t="n"/>
      <c r="J68" s="40" t="n"/>
      <c r="K68" s="31" t="n"/>
      <c r="L68" s="40" t="n"/>
      <c r="M68" s="40" t="n"/>
      <c r="N68" s="40" t="n"/>
      <c r="O68" s="40" t="n"/>
      <c r="P68" s="40" t="n"/>
      <c r="Q68" s="40" t="n"/>
      <c r="R68" s="40" t="n"/>
      <c r="S68" s="40" t="n"/>
      <c r="T68" s="40" t="n"/>
      <c r="U68" s="40" t="n"/>
      <c r="V68" s="29">
        <f>IFERROR(ROUND((IF(Q68="Severe",4,IF(Q68="Moderate",3,IF(Q68="Minor",2,0)))+IF(R68="Severe",4,IF(R68="Moderate",3,IF(R68="Minor",2,0)))+IF(S68="Severe",4,IF(S68="Moderate",3,IF(S68="Minor",2,0)))+IF(T68="Severe",4,IF(T68="Moderate",3,IF(T68="Minor",2,0))))/16*100,0),"")</f>
        <v/>
      </c>
      <c r="W68" s="31" t="n"/>
      <c r="X68" s="40" t="n"/>
      <c r="Y68" s="40" t="n"/>
      <c r="Z68" s="40" t="n"/>
      <c r="AA68" s="30">
        <f>IFERROR(ROUND(IF(H68&gt;=10,30,IF(H68&gt;=5,20,IF(H68&gt;=2,10,0)))+IF(K68="Yes",20,IF(K68="Unsure",10,0))+IF(W68="Yes",30,IF(W68="Later",15,0))+IFERROR(V68/100*20,0)+IF(L68="Interested",15,IF(L68="Open But Busy",10,IF(L68="Neutral",5,0))),0),"")</f>
        <v/>
      </c>
      <c r="AB68" s="31">
        <f>IFERROR(IF(AA68&gt;=80,"🔥 HOT",IF(AA68&gt;=60,"✅ STRONG",IF(AA68&gt;=40,"⚡ WARM",IF(AA68&gt;=20,"📋 NURTURE",IF(AA68&gt;0,"❌ COLD",""))))),"")</f>
        <v/>
      </c>
      <c r="AC68" s="31">
        <f>IFERROR(IF(AND(AA68&gt;=60,OR(W68="Yes",W68="Later")),"🚨 URGENT",IF(AND(AA68&gt;=40,I68="Call Back"),"📞 CALL BACK",IF(I68="Booked Meeting","📅 BOOKED",IF(I68="Not Interested","🚫 DEAD","⏳ WORKING")))),"")</f>
        <v/>
      </c>
      <c r="AD68" s="42" t="n"/>
      <c r="AE68" s="38" t="n"/>
      <c r="AF68" s="33">
        <f>IFERROR(IF(AE68="","",AE68-TODAY()),"")</f>
        <v/>
      </c>
      <c r="AG68" s="40" t="n"/>
    </row>
    <row r="69" ht="19.5" customHeight="1" s="105">
      <c r="A69" s="46" t="inlineStr">
        <is>
          <t>At Your Service Pros</t>
        </is>
      </c>
      <c r="B69" s="47" t="inlineStr">
        <is>
          <t>(801) 997-5555</t>
        </is>
      </c>
      <c r="C69" s="47" t="inlineStr">
        <is>
          <t>Sandy</t>
        </is>
      </c>
      <c r="D69" s="49" t="inlineStr">
        <is>
          <t>N/A</t>
        </is>
      </c>
      <c r="E69" s="44" t="n"/>
      <c r="F69" s="44" t="n"/>
      <c r="G69" s="44" t="n"/>
      <c r="H69" s="23" t="n"/>
      <c r="I69" s="44" t="n"/>
      <c r="J69" s="44" t="n"/>
      <c r="K69" s="23" t="n"/>
      <c r="L69" s="44" t="n"/>
      <c r="M69" s="44" t="n"/>
      <c r="N69" s="44" t="n"/>
      <c r="O69" s="44" t="n"/>
      <c r="P69" s="44" t="n"/>
      <c r="Q69" s="44" t="n"/>
      <c r="R69" s="44" t="n"/>
      <c r="S69" s="44" t="n"/>
      <c r="T69" s="44" t="n"/>
      <c r="U69" s="44" t="n"/>
      <c r="V69" s="21">
        <f>IFERROR(ROUND((IF(Q69="Severe",4,IF(Q69="Moderate",3,IF(Q69="Minor",2,0)))+IF(R69="Severe",4,IF(R69="Moderate",3,IF(R69="Minor",2,0)))+IF(S69="Severe",4,IF(S69="Moderate",3,IF(S69="Minor",2,0)))+IF(T69="Severe",4,IF(T69="Moderate",3,IF(T69="Minor",2,0))))/16*100,0),"")</f>
        <v/>
      </c>
      <c r="W69" s="23" t="n"/>
      <c r="X69" s="44" t="n"/>
      <c r="Y69" s="44" t="n"/>
      <c r="Z69" s="44" t="n"/>
      <c r="AA69" s="22">
        <f>IFERROR(ROUND(IF(H69&gt;=10,30,IF(H69&gt;=5,20,IF(H69&gt;=2,10,0)))+IF(K69="Yes",20,IF(K69="Unsure",10,0))+IF(W69="Yes",30,IF(W69="Later",15,0))+IFERROR(V69/100*20,0)+IF(L69="Interested",15,IF(L69="Open But Busy",10,IF(L69="Neutral",5,0))),0),"")</f>
        <v/>
      </c>
      <c r="AB69" s="23">
        <f>IFERROR(IF(AA69&gt;=80,"🔥 HOT",IF(AA69&gt;=60,"✅ STRONG",IF(AA69&gt;=40,"⚡ WARM",IF(AA69&gt;=20,"📋 NURTURE",IF(AA69&gt;0,"❌ COLD",""))))),"")</f>
        <v/>
      </c>
      <c r="AC69" s="23">
        <f>IFERROR(IF(AND(AA69&gt;=60,OR(W69="Yes",W69="Later")),"🚨 URGENT",IF(AND(AA69&gt;=40,I69="Call Back"),"📞 CALL BACK",IF(I69="Booked Meeting","📅 BOOKED",IF(I69="Not Interested","🚫 DEAD","⏳ WORKING")))),"")</f>
        <v/>
      </c>
      <c r="AD69" s="45" t="n"/>
      <c r="AE69" s="37" t="n"/>
      <c r="AF69" s="25">
        <f>IFERROR(IF(AE69="","",AE69-TODAY()),"")</f>
        <v/>
      </c>
      <c r="AG69" s="44" t="n"/>
    </row>
    <row r="70" ht="19.5" customHeight="1" s="105">
      <c r="A70" s="46" t="inlineStr">
        <is>
          <t>CSA Heating and Air</t>
        </is>
      </c>
      <c r="B70" s="47" t="inlineStr">
        <is>
          <t>(801) 225-6600</t>
        </is>
      </c>
      <c r="C70" s="47" t="inlineStr">
        <is>
          <t>Herriman</t>
        </is>
      </c>
      <c r="D70" s="48" t="inlineStr">
        <is>
          <t>Click Here</t>
        </is>
      </c>
      <c r="E70" s="40" t="n"/>
      <c r="F70" s="40" t="n"/>
      <c r="G70" s="40" t="n"/>
      <c r="H70" s="31" t="n"/>
      <c r="I70" s="40" t="n"/>
      <c r="J70" s="40" t="n"/>
      <c r="K70" s="31" t="n"/>
      <c r="L70" s="40" t="n"/>
      <c r="M70" s="40" t="n"/>
      <c r="N70" s="40" t="n"/>
      <c r="O70" s="40" t="n"/>
      <c r="P70" s="40" t="n"/>
      <c r="Q70" s="40" t="n"/>
      <c r="R70" s="40" t="n"/>
      <c r="S70" s="40" t="n"/>
      <c r="T70" s="40" t="n"/>
      <c r="U70" s="40" t="n"/>
      <c r="V70" s="29">
        <f>IFERROR(ROUND((IF(Q70="Severe",4,IF(Q70="Moderate",3,IF(Q70="Minor",2,0)))+IF(R70="Severe",4,IF(R70="Moderate",3,IF(R70="Minor",2,0)))+IF(S70="Severe",4,IF(S70="Moderate",3,IF(S70="Minor",2,0)))+IF(T70="Severe",4,IF(T70="Moderate",3,IF(T70="Minor",2,0))))/16*100,0),"")</f>
        <v/>
      </c>
      <c r="W70" s="31" t="n"/>
      <c r="X70" s="40" t="n"/>
      <c r="Y70" s="40" t="n"/>
      <c r="Z70" s="40" t="n"/>
      <c r="AA70" s="30">
        <f>IFERROR(ROUND(IF(H70&gt;=10,30,IF(H70&gt;=5,20,IF(H70&gt;=2,10,0)))+IF(K70="Yes",20,IF(K70="Unsure",10,0))+IF(W70="Yes",30,IF(W70="Later",15,0))+IFERROR(V70/100*20,0)+IF(L70="Interested",15,IF(L70="Open But Busy",10,IF(L70="Neutral",5,0))),0),"")</f>
        <v/>
      </c>
      <c r="AB70" s="31">
        <f>IFERROR(IF(AA70&gt;=80,"🔥 HOT",IF(AA70&gt;=60,"✅ STRONG",IF(AA70&gt;=40,"⚡ WARM",IF(AA70&gt;=20,"📋 NURTURE",IF(AA70&gt;0,"❌ COLD",""))))),"")</f>
        <v/>
      </c>
      <c r="AC70" s="31">
        <f>IFERROR(IF(AND(AA70&gt;=60,OR(W70="Yes",W70="Later")),"🚨 URGENT",IF(AND(AA70&gt;=40,I70="Call Back"),"📞 CALL BACK",IF(I70="Booked Meeting","📅 BOOKED",IF(I70="Not Interested","🚫 DEAD","⏳ WORKING")))),"")</f>
        <v/>
      </c>
      <c r="AD70" s="42" t="n"/>
      <c r="AE70" s="38" t="n"/>
      <c r="AF70" s="33">
        <f>IFERROR(IF(AE70="","",AE70-TODAY()),"")</f>
        <v/>
      </c>
      <c r="AG70" s="40" t="n"/>
    </row>
    <row r="71" ht="19.5" customHeight="1" s="105">
      <c r="A71" s="46" t="inlineStr">
        <is>
          <t>Yes Home Services</t>
        </is>
      </c>
      <c r="B71" s="47" t="inlineStr">
        <is>
          <t>(801) 261-0071</t>
        </is>
      </c>
      <c r="C71" s="47" t="inlineStr">
        <is>
          <t>Salt Lake City</t>
        </is>
      </c>
      <c r="D71" s="48" t="inlineStr">
        <is>
          <t>Click Here</t>
        </is>
      </c>
      <c r="E71" s="44" t="n"/>
      <c r="F71" s="44" t="n"/>
      <c r="G71" s="44" t="n"/>
      <c r="H71" s="23" t="n"/>
      <c r="I71" s="44" t="n"/>
      <c r="J71" s="44" t="n"/>
      <c r="K71" s="23" t="n"/>
      <c r="L71" s="44" t="n"/>
      <c r="M71" s="44" t="n"/>
      <c r="N71" s="44" t="n"/>
      <c r="O71" s="44" t="n"/>
      <c r="P71" s="44" t="n"/>
      <c r="Q71" s="44" t="n"/>
      <c r="R71" s="44" t="n"/>
      <c r="S71" s="44" t="n"/>
      <c r="T71" s="44" t="n"/>
      <c r="U71" s="44" t="n"/>
      <c r="V71" s="21">
        <f>IFERROR(ROUND((IF(Q71="Severe",4,IF(Q71="Moderate",3,IF(Q71="Minor",2,0)))+IF(R71="Severe",4,IF(R71="Moderate",3,IF(R71="Minor",2,0)))+IF(S71="Severe",4,IF(S71="Moderate",3,IF(S71="Minor",2,0)))+IF(T71="Severe",4,IF(T71="Moderate",3,IF(T71="Minor",2,0))))/16*100,0),"")</f>
        <v/>
      </c>
      <c r="W71" s="23" t="n"/>
      <c r="X71" s="44" t="n"/>
      <c r="Y71" s="44" t="n"/>
      <c r="Z71" s="44" t="n"/>
      <c r="AA71" s="22">
        <f>IFERROR(ROUND(IF(H71&gt;=10,30,IF(H71&gt;=5,20,IF(H71&gt;=2,10,0)))+IF(K71="Yes",20,IF(K71="Unsure",10,0))+IF(W71="Yes",30,IF(W71="Later",15,0))+IFERROR(V71/100*20,0)+IF(L71="Interested",15,IF(L71="Open But Busy",10,IF(L71="Neutral",5,0))),0),"")</f>
        <v/>
      </c>
      <c r="AB71" s="23">
        <f>IFERROR(IF(AA71&gt;=80,"🔥 HOT",IF(AA71&gt;=60,"✅ STRONG",IF(AA71&gt;=40,"⚡ WARM",IF(AA71&gt;=20,"📋 NURTURE",IF(AA71&gt;0,"❌ COLD",""))))),"")</f>
        <v/>
      </c>
      <c r="AC71" s="23">
        <f>IFERROR(IF(AND(AA71&gt;=60,OR(W71="Yes",W71="Later")),"🚨 URGENT",IF(AND(AA71&gt;=40,I71="Call Back"),"📞 CALL BACK",IF(I71="Booked Meeting","📅 BOOKED",IF(I71="Not Interested","🚫 DEAD","⏳ WORKING")))),"")</f>
        <v/>
      </c>
      <c r="AD71" s="45" t="n"/>
      <c r="AE71" s="37" t="n"/>
      <c r="AF71" s="25">
        <f>IFERROR(IF(AE71="","",AE71-TODAY()),"")</f>
        <v/>
      </c>
      <c r="AG71" s="44" t="n"/>
    </row>
    <row r="72" ht="19.5" customHeight="1" s="105">
      <c r="A72" s="46" t="inlineStr">
        <is>
          <t>Wasatch Mechanical Plumbing &amp; HVAC</t>
        </is>
      </c>
      <c r="B72" s="47" t="inlineStr">
        <is>
          <t>(801) 755-4792</t>
        </is>
      </c>
      <c r="C72" s="47" t="inlineStr">
        <is>
          <t>Salt Lake City</t>
        </is>
      </c>
      <c r="D72" s="49" t="inlineStr">
        <is>
          <t>N/A</t>
        </is>
      </c>
      <c r="E72" s="40" t="n"/>
      <c r="F72" s="40" t="n"/>
      <c r="G72" s="40" t="n"/>
      <c r="H72" s="31" t="n"/>
      <c r="I72" s="40" t="n"/>
      <c r="J72" s="40" t="n"/>
      <c r="K72" s="31" t="n"/>
      <c r="L72" s="40" t="n"/>
      <c r="M72" s="40" t="n"/>
      <c r="N72" s="40" t="n"/>
      <c r="O72" s="40" t="n"/>
      <c r="P72" s="40" t="n"/>
      <c r="Q72" s="40" t="n"/>
      <c r="R72" s="40" t="n"/>
      <c r="S72" s="40" t="n"/>
      <c r="T72" s="40" t="n"/>
      <c r="U72" s="40" t="n"/>
      <c r="V72" s="29">
        <f>IFERROR(ROUND((IF(Q72="Severe",4,IF(Q72="Moderate",3,IF(Q72="Minor",2,0)))+IF(R72="Severe",4,IF(R72="Moderate",3,IF(R72="Minor",2,0)))+IF(S72="Severe",4,IF(S72="Moderate",3,IF(S72="Minor",2,0)))+IF(T72="Severe",4,IF(T72="Moderate",3,IF(T72="Minor",2,0))))/16*100,0),"")</f>
        <v/>
      </c>
      <c r="W72" s="31" t="n"/>
      <c r="X72" s="40" t="n"/>
      <c r="Y72" s="40" t="n"/>
      <c r="Z72" s="40" t="n"/>
      <c r="AA72" s="30">
        <f>IFERROR(ROUND(IF(H72&gt;=10,30,IF(H72&gt;=5,20,IF(H72&gt;=2,10,0)))+IF(K72="Yes",20,IF(K72="Unsure",10,0))+IF(W72="Yes",30,IF(W72="Later",15,0))+IFERROR(V72/100*20,0)+IF(L72="Interested",15,IF(L72="Open But Busy",10,IF(L72="Neutral",5,0))),0),"")</f>
        <v/>
      </c>
      <c r="AB72" s="31">
        <f>IFERROR(IF(AA72&gt;=80,"🔥 HOT",IF(AA72&gt;=60,"✅ STRONG",IF(AA72&gt;=40,"⚡ WARM",IF(AA72&gt;=20,"📋 NURTURE",IF(AA72&gt;0,"❌ COLD",""))))),"")</f>
        <v/>
      </c>
      <c r="AC72" s="31">
        <f>IFERROR(IF(AND(AA72&gt;=60,OR(W72="Yes",W72="Later")),"🚨 URGENT",IF(AND(AA72&gt;=40,I72="Call Back"),"📞 CALL BACK",IF(I72="Booked Meeting","📅 BOOKED",IF(I72="Not Interested","🚫 DEAD","⏳ WORKING")))),"")</f>
        <v/>
      </c>
      <c r="AD72" s="42" t="n"/>
      <c r="AE72" s="38" t="n"/>
      <c r="AF72" s="33">
        <f>IFERROR(IF(AE72="","",AE72-TODAY()),"")</f>
        <v/>
      </c>
      <c r="AG72" s="40" t="n"/>
    </row>
    <row r="73" ht="19.5" customHeight="1" s="105">
      <c r="A73" s="46" t="inlineStr">
        <is>
          <t>Utah Mechanical HVAC</t>
        </is>
      </c>
      <c r="B73" s="47" t="inlineStr">
        <is>
          <t>(801) 797-3737</t>
        </is>
      </c>
      <c r="C73" s="47" t="inlineStr">
        <is>
          <t>South Ogden</t>
        </is>
      </c>
      <c r="D73" s="48" t="inlineStr">
        <is>
          <t>Click Here</t>
        </is>
      </c>
      <c r="E73" s="44" t="n"/>
      <c r="F73" s="44" t="n"/>
      <c r="G73" s="44" t="n"/>
      <c r="H73" s="23" t="n"/>
      <c r="I73" s="44" t="n"/>
      <c r="J73" s="44" t="n"/>
      <c r="K73" s="23" t="n"/>
      <c r="L73" s="44" t="n"/>
      <c r="M73" s="44" t="n"/>
      <c r="N73" s="44" t="n"/>
      <c r="O73" s="44" t="n"/>
      <c r="P73" s="44" t="n"/>
      <c r="Q73" s="44" t="n"/>
      <c r="R73" s="44" t="n"/>
      <c r="S73" s="44" t="n"/>
      <c r="T73" s="44" t="n"/>
      <c r="U73" s="44" t="n"/>
      <c r="V73" s="21">
        <f>IFERROR(ROUND((IF(Q73="Severe",4,IF(Q73="Moderate",3,IF(Q73="Minor",2,0)))+IF(R73="Severe",4,IF(R73="Moderate",3,IF(R73="Minor",2,0)))+IF(S73="Severe",4,IF(S73="Moderate",3,IF(S73="Minor",2,0)))+IF(T73="Severe",4,IF(T73="Moderate",3,IF(T73="Minor",2,0))))/16*100,0),"")</f>
        <v/>
      </c>
      <c r="W73" s="23" t="n"/>
      <c r="X73" s="44" t="n"/>
      <c r="Y73" s="44" t="n"/>
      <c r="Z73" s="44" t="n"/>
      <c r="AA73" s="22">
        <f>IFERROR(ROUND(IF(H73&gt;=10,30,IF(H73&gt;=5,20,IF(H73&gt;=2,10,0)))+IF(K73="Yes",20,IF(K73="Unsure",10,0))+IF(W73="Yes",30,IF(W73="Later",15,0))+IFERROR(V73/100*20,0)+IF(L73="Interested",15,IF(L73="Open But Busy",10,IF(L73="Neutral",5,0))),0),"")</f>
        <v/>
      </c>
      <c r="AB73" s="23">
        <f>IFERROR(IF(AA73&gt;=80,"🔥 HOT",IF(AA73&gt;=60,"✅ STRONG",IF(AA73&gt;=40,"⚡ WARM",IF(AA73&gt;=20,"📋 NURTURE",IF(AA73&gt;0,"❌ COLD",""))))),"")</f>
        <v/>
      </c>
      <c r="AC73" s="23">
        <f>IFERROR(IF(AND(AA73&gt;=60,OR(W73="Yes",W73="Later")),"🚨 URGENT",IF(AND(AA73&gt;=40,I73="Call Back"),"📞 CALL BACK",IF(I73="Booked Meeting","📅 BOOKED",IF(I73="Not Interested","🚫 DEAD","⏳ WORKING")))),"")</f>
        <v/>
      </c>
      <c r="AD73" s="45" t="n"/>
      <c r="AE73" s="37" t="n"/>
      <c r="AF73" s="25">
        <f>IFERROR(IF(AE73="","",AE73-TODAY()),"")</f>
        <v/>
      </c>
      <c r="AG73" s="44" t="n"/>
    </row>
    <row r="74" ht="19.5" customHeight="1" s="105">
      <c r="A74" s="46" t="inlineStr">
        <is>
          <t>Grimes Mechanical</t>
        </is>
      </c>
      <c r="B74" s="47" t="inlineStr">
        <is>
          <t>(801) 791-9650</t>
        </is>
      </c>
      <c r="C74" s="47" t="inlineStr">
        <is>
          <t>Ogden</t>
        </is>
      </c>
      <c r="D74" s="48" t="inlineStr">
        <is>
          <t>Click Here</t>
        </is>
      </c>
      <c r="E74" s="40" t="n"/>
      <c r="F74" s="40" t="n"/>
      <c r="G74" s="40" t="n"/>
      <c r="H74" s="31" t="n"/>
      <c r="I74" s="40" t="n"/>
      <c r="J74" s="40" t="n"/>
      <c r="K74" s="31" t="n"/>
      <c r="L74" s="40" t="n"/>
      <c r="M74" s="40" t="n"/>
      <c r="N74" s="40" t="n"/>
      <c r="O74" s="40" t="n"/>
      <c r="P74" s="40" t="n"/>
      <c r="Q74" s="40" t="n"/>
      <c r="R74" s="40" t="n"/>
      <c r="S74" s="40" t="n"/>
      <c r="T74" s="40" t="n"/>
      <c r="U74" s="40" t="n"/>
      <c r="V74" s="29">
        <f>IFERROR(ROUND((IF(Q74="Severe",4,IF(Q74="Moderate",3,IF(Q74="Minor",2,0)))+IF(R74="Severe",4,IF(R74="Moderate",3,IF(R74="Minor",2,0)))+IF(S74="Severe",4,IF(S74="Moderate",3,IF(S74="Minor",2,0)))+IF(T74="Severe",4,IF(T74="Moderate",3,IF(T74="Minor",2,0))))/16*100,0),"")</f>
        <v/>
      </c>
      <c r="W74" s="31" t="n"/>
      <c r="X74" s="40" t="n"/>
      <c r="Y74" s="40" t="n"/>
      <c r="Z74" s="40" t="n"/>
      <c r="AA74" s="30">
        <f>IFERROR(ROUND(IF(H74&gt;=10,30,IF(H74&gt;=5,20,IF(H74&gt;=2,10,0)))+IF(K74="Yes",20,IF(K74="Unsure",10,0))+IF(W74="Yes",30,IF(W74="Later",15,0))+IFERROR(V74/100*20,0)+IF(L74="Interested",15,IF(L74="Open But Busy",10,IF(L74="Neutral",5,0))),0),"")</f>
        <v/>
      </c>
      <c r="AB74" s="31">
        <f>IFERROR(IF(AA74&gt;=80,"🔥 HOT",IF(AA74&gt;=60,"✅ STRONG",IF(AA74&gt;=40,"⚡ WARM",IF(AA74&gt;=20,"📋 NURTURE",IF(AA74&gt;0,"❌ COLD",""))))),"")</f>
        <v/>
      </c>
      <c r="AC74" s="31">
        <f>IFERROR(IF(AND(AA74&gt;=60,OR(W74="Yes",W74="Later")),"🚨 URGENT",IF(AND(AA74&gt;=40,I74="Call Back"),"📞 CALL BACK",IF(I74="Booked Meeting","📅 BOOKED",IF(I74="Not Interested","🚫 DEAD","⏳ WORKING")))),"")</f>
        <v/>
      </c>
      <c r="AD74" s="42" t="n"/>
      <c r="AE74" s="38" t="n"/>
      <c r="AF74" s="33">
        <f>IFERROR(IF(AE74="","",AE74-TODAY()),"")</f>
        <v/>
      </c>
      <c r="AG74" s="40" t="n"/>
    </row>
    <row r="75" ht="19.5" customHeight="1" s="105">
      <c r="A75" s="46" t="inlineStr">
        <is>
          <t>Comfort Solutions Utah</t>
        </is>
      </c>
      <c r="B75" s="47" t="inlineStr">
        <is>
          <t>(801) 392-0938</t>
        </is>
      </c>
      <c r="C75" s="47" t="inlineStr">
        <is>
          <t>Ogden</t>
        </is>
      </c>
      <c r="D75" s="48" t="inlineStr">
        <is>
          <t>Click Here</t>
        </is>
      </c>
      <c r="E75" s="44" t="n"/>
      <c r="F75" s="44" t="n"/>
      <c r="G75" s="44" t="n"/>
      <c r="H75" s="23" t="n"/>
      <c r="I75" s="44" t="n"/>
      <c r="J75" s="44" t="n"/>
      <c r="K75" s="23" t="n"/>
      <c r="L75" s="44" t="n"/>
      <c r="M75" s="44" t="n"/>
      <c r="N75" s="44" t="n"/>
      <c r="O75" s="44" t="n"/>
      <c r="P75" s="44" t="n"/>
      <c r="Q75" s="44" t="n"/>
      <c r="R75" s="44" t="n"/>
      <c r="S75" s="44" t="n"/>
      <c r="T75" s="44" t="n"/>
      <c r="U75" s="44" t="n"/>
      <c r="V75" s="21">
        <f>IFERROR(ROUND((IF(Q75="Severe",4,IF(Q75="Moderate",3,IF(Q75="Minor",2,0)))+IF(R75="Severe",4,IF(R75="Moderate",3,IF(R75="Minor",2,0)))+IF(S75="Severe",4,IF(S75="Moderate",3,IF(S75="Minor",2,0)))+IF(T75="Severe",4,IF(T75="Moderate",3,IF(T75="Minor",2,0))))/16*100,0),"")</f>
        <v/>
      </c>
      <c r="W75" s="23" t="n"/>
      <c r="X75" s="44" t="n"/>
      <c r="Y75" s="44" t="n"/>
      <c r="Z75" s="44" t="n"/>
      <c r="AA75" s="22">
        <f>IFERROR(ROUND(IF(H75&gt;=10,30,IF(H75&gt;=5,20,IF(H75&gt;=2,10,0)))+IF(K75="Yes",20,IF(K75="Unsure",10,0))+IF(W75="Yes",30,IF(W75="Later",15,0))+IFERROR(V75/100*20,0)+IF(L75="Interested",15,IF(L75="Open But Busy",10,IF(L75="Neutral",5,0))),0),"")</f>
        <v/>
      </c>
      <c r="AB75" s="23">
        <f>IFERROR(IF(AA75&gt;=80,"🔥 HOT",IF(AA75&gt;=60,"✅ STRONG",IF(AA75&gt;=40,"⚡ WARM",IF(AA75&gt;=20,"📋 NURTURE",IF(AA75&gt;0,"❌ COLD",""))))),"")</f>
        <v/>
      </c>
      <c r="AC75" s="23">
        <f>IFERROR(IF(AND(AA75&gt;=60,OR(W75="Yes",W75="Later")),"🚨 URGENT",IF(AND(AA75&gt;=40,I75="Call Back"),"📞 CALL BACK",IF(I75="Booked Meeting","📅 BOOKED",IF(I75="Not Interested","🚫 DEAD","⏳ WORKING")))),"")</f>
        <v/>
      </c>
      <c r="AD75" s="45" t="n"/>
      <c r="AE75" s="37" t="n"/>
      <c r="AF75" s="25">
        <f>IFERROR(IF(AE75="","",AE75-TODAY()),"")</f>
        <v/>
      </c>
      <c r="AG75" s="44" t="n"/>
    </row>
    <row r="76" ht="19.5" customHeight="1" s="105">
      <c r="A76" s="46" t="inlineStr">
        <is>
          <t>Mountain Air Conditioning &amp; Heating</t>
        </is>
      </c>
      <c r="B76" s="47" t="inlineStr">
        <is>
          <t>(801) 773-7171</t>
        </is>
      </c>
      <c r="C76" s="47" t="inlineStr">
        <is>
          <t>Ogden</t>
        </is>
      </c>
      <c r="D76" s="49" t="inlineStr">
        <is>
          <t>N/A</t>
        </is>
      </c>
      <c r="E76" s="40" t="n"/>
      <c r="F76" s="40" t="n"/>
      <c r="G76" s="40" t="n"/>
      <c r="H76" s="31" t="n"/>
      <c r="I76" s="40" t="n"/>
      <c r="J76" s="40" t="n"/>
      <c r="K76" s="31" t="n"/>
      <c r="L76" s="40" t="n"/>
      <c r="M76" s="40" t="n"/>
      <c r="N76" s="40" t="n"/>
      <c r="O76" s="40" t="n"/>
      <c r="P76" s="40" t="n"/>
      <c r="Q76" s="40" t="n"/>
      <c r="R76" s="40" t="n"/>
      <c r="S76" s="40" t="n"/>
      <c r="T76" s="40" t="n"/>
      <c r="U76" s="40" t="n"/>
      <c r="V76" s="29">
        <f>IFERROR(ROUND((IF(Q76="Severe",4,IF(Q76="Moderate",3,IF(Q76="Minor",2,0)))+IF(R76="Severe",4,IF(R76="Moderate",3,IF(R76="Minor",2,0)))+IF(S76="Severe",4,IF(S76="Moderate",3,IF(S76="Minor",2,0)))+IF(T76="Severe",4,IF(T76="Moderate",3,IF(T76="Minor",2,0))))/16*100,0),"")</f>
        <v/>
      </c>
      <c r="W76" s="31" t="n"/>
      <c r="X76" s="40" t="n"/>
      <c r="Y76" s="40" t="n"/>
      <c r="Z76" s="40" t="n"/>
      <c r="AA76" s="30">
        <f>IFERROR(ROUND(IF(H76&gt;=10,30,IF(H76&gt;=5,20,IF(H76&gt;=2,10,0)))+IF(K76="Yes",20,IF(K76="Unsure",10,0))+IF(W76="Yes",30,IF(W76="Later",15,0))+IFERROR(V76/100*20,0)+IF(L76="Interested",15,IF(L76="Open But Busy",10,IF(L76="Neutral",5,0))),0),"")</f>
        <v/>
      </c>
      <c r="AB76" s="31">
        <f>IFERROR(IF(AA76&gt;=80,"🔥 HOT",IF(AA76&gt;=60,"✅ STRONG",IF(AA76&gt;=40,"⚡ WARM",IF(AA76&gt;=20,"📋 NURTURE",IF(AA76&gt;0,"❌ COLD",""))))),"")</f>
        <v/>
      </c>
      <c r="AC76" s="31">
        <f>IFERROR(IF(AND(AA76&gt;=60,OR(W76="Yes",W76="Later")),"🚨 URGENT",IF(AND(AA76&gt;=40,I76="Call Back"),"📞 CALL BACK",IF(I76="Booked Meeting","📅 BOOKED",IF(I76="Not Interested","🚫 DEAD","⏳ WORKING")))),"")</f>
        <v/>
      </c>
      <c r="AD76" s="42" t="n"/>
      <c r="AE76" s="38" t="n"/>
      <c r="AF76" s="33">
        <f>IFERROR(IF(AE76="","",AE76-TODAY()),"")</f>
        <v/>
      </c>
      <c r="AG76" s="40" t="n"/>
    </row>
    <row r="77" ht="19.5" customHeight="1" s="105">
      <c r="A77" s="46" t="inlineStr">
        <is>
          <t>PerfecTemp HVAC</t>
        </is>
      </c>
      <c r="B77" s="47" t="inlineStr">
        <is>
          <t>(801) 610-6857</t>
        </is>
      </c>
      <c r="C77" s="47" t="inlineStr">
        <is>
          <t>Ogden</t>
        </is>
      </c>
      <c r="D77" s="48" t="inlineStr">
        <is>
          <t>Click Here</t>
        </is>
      </c>
      <c r="E77" s="44" t="n"/>
      <c r="F77" s="44" t="n"/>
      <c r="G77" s="44" t="n"/>
      <c r="H77" s="23" t="n"/>
      <c r="I77" s="44" t="n"/>
      <c r="J77" s="44" t="n"/>
      <c r="K77" s="23" t="n"/>
      <c r="L77" s="44" t="n"/>
      <c r="M77" s="44" t="n"/>
      <c r="N77" s="44" t="n"/>
      <c r="O77" s="44" t="n"/>
      <c r="P77" s="44" t="n"/>
      <c r="Q77" s="44" t="n"/>
      <c r="R77" s="44" t="n"/>
      <c r="S77" s="44" t="n"/>
      <c r="T77" s="44" t="n"/>
      <c r="U77" s="44" t="n"/>
      <c r="V77" s="21">
        <f>IFERROR(ROUND((IF(Q77="Severe",4,IF(Q77="Moderate",3,IF(Q77="Minor",2,0)))+IF(R77="Severe",4,IF(R77="Moderate",3,IF(R77="Minor",2,0)))+IF(S77="Severe",4,IF(S77="Moderate",3,IF(S77="Minor",2,0)))+IF(T77="Severe",4,IF(T77="Moderate",3,IF(T77="Minor",2,0))))/16*100,0),"")</f>
        <v/>
      </c>
      <c r="W77" s="23" t="n"/>
      <c r="X77" s="44" t="n"/>
      <c r="Y77" s="44" t="n"/>
      <c r="Z77" s="44" t="n"/>
      <c r="AA77" s="22">
        <f>IFERROR(ROUND(IF(H77&gt;=10,30,IF(H77&gt;=5,20,IF(H77&gt;=2,10,0)))+IF(K77="Yes",20,IF(K77="Unsure",10,0))+IF(W77="Yes",30,IF(W77="Later",15,0))+IFERROR(V77/100*20,0)+IF(L77="Interested",15,IF(L77="Open But Busy",10,IF(L77="Neutral",5,0))),0),"")</f>
        <v/>
      </c>
      <c r="AB77" s="23">
        <f>IFERROR(IF(AA77&gt;=80,"🔥 HOT",IF(AA77&gt;=60,"✅ STRONG",IF(AA77&gt;=40,"⚡ WARM",IF(AA77&gt;=20,"📋 NURTURE",IF(AA77&gt;0,"❌ COLD",""))))),"")</f>
        <v/>
      </c>
      <c r="AC77" s="23">
        <f>IFERROR(IF(AND(AA77&gt;=60,OR(W77="Yes",W77="Later")),"🚨 URGENT",IF(AND(AA77&gt;=40,I77="Call Back"),"📞 CALL BACK",IF(I77="Booked Meeting","📅 BOOKED",IF(I77="Not Interested","🚫 DEAD","⏳ WORKING")))),"")</f>
        <v/>
      </c>
      <c r="AD77" s="45" t="n"/>
      <c r="AE77" s="37" t="n"/>
      <c r="AF77" s="25">
        <f>IFERROR(IF(AE77="","",AE77-TODAY()),"")</f>
        <v/>
      </c>
      <c r="AG77" s="44" t="n"/>
    </row>
    <row r="78" ht="19.5" customHeight="1" s="105">
      <c r="A78" s="46" t="inlineStr">
        <is>
          <t>Mountain Home Services</t>
        </is>
      </c>
      <c r="B78" s="47" t="inlineStr">
        <is>
          <t>(801) 628-9999</t>
        </is>
      </c>
      <c r="C78" s="47" t="inlineStr">
        <is>
          <t>Ogden</t>
        </is>
      </c>
      <c r="D78" s="48" t="inlineStr">
        <is>
          <t>Click Here</t>
        </is>
      </c>
      <c r="E78" s="40" t="n"/>
      <c r="F78" s="40" t="n"/>
      <c r="G78" s="40" t="n"/>
      <c r="H78" s="31" t="n"/>
      <c r="I78" s="40" t="n"/>
      <c r="J78" s="40" t="n"/>
      <c r="K78" s="31" t="n"/>
      <c r="L78" s="40" t="n"/>
      <c r="M78" s="40" t="n"/>
      <c r="N78" s="40" t="n"/>
      <c r="O78" s="40" t="n"/>
      <c r="P78" s="40" t="n"/>
      <c r="Q78" s="40" t="n"/>
      <c r="R78" s="40" t="n"/>
      <c r="S78" s="40" t="n"/>
      <c r="T78" s="40" t="n"/>
      <c r="U78" s="40" t="n"/>
      <c r="V78" s="29">
        <f>IFERROR(ROUND((IF(Q78="Severe",4,IF(Q78="Moderate",3,IF(Q78="Minor",2,0)))+IF(R78="Severe",4,IF(R78="Moderate",3,IF(R78="Minor",2,0)))+IF(S78="Severe",4,IF(S78="Moderate",3,IF(S78="Minor",2,0)))+IF(T78="Severe",4,IF(T78="Moderate",3,IF(T78="Minor",2,0))))/16*100,0),"")</f>
        <v/>
      </c>
      <c r="W78" s="31" t="n"/>
      <c r="X78" s="40" t="n"/>
      <c r="Y78" s="40" t="n"/>
      <c r="Z78" s="40" t="n"/>
      <c r="AA78" s="30">
        <f>IFERROR(ROUND(IF(H78&gt;=10,30,IF(H78&gt;=5,20,IF(H78&gt;=2,10,0)))+IF(K78="Yes",20,IF(K78="Unsure",10,0))+IF(W78="Yes",30,IF(W78="Later",15,0))+IFERROR(V78/100*20,0)+IF(L78="Interested",15,IF(L78="Open But Busy",10,IF(L78="Neutral",5,0))),0),"")</f>
        <v/>
      </c>
      <c r="AB78" s="31">
        <f>IFERROR(IF(AA78&gt;=80,"🔥 HOT",IF(AA78&gt;=60,"✅ STRONG",IF(AA78&gt;=40,"⚡ WARM",IF(AA78&gt;=20,"📋 NURTURE",IF(AA78&gt;0,"❌ COLD",""))))),"")</f>
        <v/>
      </c>
      <c r="AC78" s="31">
        <f>IFERROR(IF(AND(AA78&gt;=60,OR(W78="Yes",W78="Later")),"🚨 URGENT",IF(AND(AA78&gt;=40,I78="Call Back"),"📞 CALL BACK",IF(I78="Booked Meeting","📅 BOOKED",IF(I78="Not Interested","🚫 DEAD","⏳ WORKING")))),"")</f>
        <v/>
      </c>
      <c r="AD78" s="42" t="n"/>
      <c r="AE78" s="38" t="n"/>
      <c r="AF78" s="33">
        <f>IFERROR(IF(AE78="","",AE78-TODAY()),"")</f>
        <v/>
      </c>
      <c r="AG78" s="40" t="n"/>
    </row>
    <row r="79" ht="19.5" customHeight="1" s="105">
      <c r="A79" s="46" t="inlineStr">
        <is>
          <t>Absolute Comfort Heating &amp; Air</t>
        </is>
      </c>
      <c r="B79" s="47" t="inlineStr">
        <is>
          <t>(801) 823-4888</t>
        </is>
      </c>
      <c r="C79" s="47" t="inlineStr">
        <is>
          <t>Ogden</t>
        </is>
      </c>
      <c r="D79" s="49" t="inlineStr">
        <is>
          <t>N/A</t>
        </is>
      </c>
      <c r="E79" s="44" t="n"/>
      <c r="F79" s="44" t="n"/>
      <c r="G79" s="44" t="n"/>
      <c r="H79" s="23" t="n"/>
      <c r="I79" s="44" t="n"/>
      <c r="J79" s="44" t="n"/>
      <c r="K79" s="23" t="n"/>
      <c r="L79" s="44" t="n"/>
      <c r="M79" s="44" t="n"/>
      <c r="N79" s="44" t="n"/>
      <c r="O79" s="44" t="n"/>
      <c r="P79" s="44" t="n"/>
      <c r="Q79" s="44" t="n"/>
      <c r="R79" s="44" t="n"/>
      <c r="S79" s="44" t="n"/>
      <c r="T79" s="44" t="n"/>
      <c r="U79" s="44" t="n"/>
      <c r="V79" s="21">
        <f>IFERROR(ROUND((IF(Q79="Severe",4,IF(Q79="Moderate",3,IF(Q79="Minor",2,0)))+IF(R79="Severe",4,IF(R79="Moderate",3,IF(R79="Minor",2,0)))+IF(S79="Severe",4,IF(S79="Moderate",3,IF(S79="Minor",2,0)))+IF(T79="Severe",4,IF(T79="Moderate",3,IF(T79="Minor",2,0))))/16*100,0),"")</f>
        <v/>
      </c>
      <c r="W79" s="23" t="n"/>
      <c r="X79" s="44" t="n"/>
      <c r="Y79" s="44" t="n"/>
      <c r="Z79" s="44" t="n"/>
      <c r="AA79" s="22">
        <f>IFERROR(ROUND(IF(H79&gt;=10,30,IF(H79&gt;=5,20,IF(H79&gt;=2,10,0)))+IF(K79="Yes",20,IF(K79="Unsure",10,0))+IF(W79="Yes",30,IF(W79="Later",15,0))+IFERROR(V79/100*20,0)+IF(L79="Interested",15,IF(L79="Open But Busy",10,IF(L79="Neutral",5,0))),0),"")</f>
        <v/>
      </c>
      <c r="AB79" s="23">
        <f>IFERROR(IF(AA79&gt;=80,"🔥 HOT",IF(AA79&gt;=60,"✅ STRONG",IF(AA79&gt;=40,"⚡ WARM",IF(AA79&gt;=20,"📋 NURTURE",IF(AA79&gt;0,"❌ COLD",""))))),"")</f>
        <v/>
      </c>
      <c r="AC79" s="23">
        <f>IFERROR(IF(AND(AA79&gt;=60,OR(W79="Yes",W79="Later")),"🚨 URGENT",IF(AND(AA79&gt;=40,I79="Call Back"),"📞 CALL BACK",IF(I79="Booked Meeting","📅 BOOKED",IF(I79="Not Interested","🚫 DEAD","⏳ WORKING")))),"")</f>
        <v/>
      </c>
      <c r="AD79" s="45" t="n"/>
      <c r="AE79" s="37" t="n"/>
      <c r="AF79" s="25">
        <f>IFERROR(IF(AE79="","",AE79-TODAY()),"")</f>
        <v/>
      </c>
      <c r="AG79" s="44" t="n"/>
    </row>
    <row r="80" ht="19.5" customHeight="1" s="105">
      <c r="A80" s="46" t="inlineStr">
        <is>
          <t>Rare Breed Plumbing Heating &amp; Air</t>
        </is>
      </c>
      <c r="B80" s="47" t="inlineStr">
        <is>
          <t>(385) 316-0148</t>
        </is>
      </c>
      <c r="C80" s="47" t="inlineStr">
        <is>
          <t>Ogden</t>
        </is>
      </c>
      <c r="D80" s="49" t="inlineStr">
        <is>
          <t>N/A</t>
        </is>
      </c>
      <c r="E80" s="40" t="n"/>
      <c r="F80" s="40" t="n"/>
      <c r="G80" s="40" t="n"/>
      <c r="H80" s="31" t="n"/>
      <c r="I80" s="40" t="n"/>
      <c r="J80" s="40" t="n"/>
      <c r="K80" s="31" t="n"/>
      <c r="L80" s="40" t="n"/>
      <c r="M80" s="40" t="n"/>
      <c r="N80" s="40" t="n"/>
      <c r="O80" s="40" t="n"/>
      <c r="P80" s="40" t="n"/>
      <c r="Q80" s="40" t="n"/>
      <c r="R80" s="40" t="n"/>
      <c r="S80" s="40" t="n"/>
      <c r="T80" s="40" t="n"/>
      <c r="U80" s="40" t="n"/>
      <c r="V80" s="29">
        <f>IFERROR(ROUND((IF(Q80="Severe",4,IF(Q80="Moderate",3,IF(Q80="Minor",2,0)))+IF(R80="Severe",4,IF(R80="Moderate",3,IF(R80="Minor",2,0)))+IF(S80="Severe",4,IF(S80="Moderate",3,IF(S80="Minor",2,0)))+IF(T80="Severe",4,IF(T80="Moderate",3,IF(T80="Minor",2,0))))/16*100,0),"")</f>
        <v/>
      </c>
      <c r="W80" s="31" t="n"/>
      <c r="X80" s="40" t="n"/>
      <c r="Y80" s="40" t="n"/>
      <c r="Z80" s="40" t="n"/>
      <c r="AA80" s="30">
        <f>IFERROR(ROUND(IF(H80&gt;=10,30,IF(H80&gt;=5,20,IF(H80&gt;=2,10,0)))+IF(K80="Yes",20,IF(K80="Unsure",10,0))+IF(W80="Yes",30,IF(W80="Later",15,0))+IFERROR(V80/100*20,0)+IF(L80="Interested",15,IF(L80="Open But Busy",10,IF(L80="Neutral",5,0))),0),"")</f>
        <v/>
      </c>
      <c r="AB80" s="31">
        <f>IFERROR(IF(AA80&gt;=80,"🔥 HOT",IF(AA80&gt;=60,"✅ STRONG",IF(AA80&gt;=40,"⚡ WARM",IF(AA80&gt;=20,"📋 NURTURE",IF(AA80&gt;0,"❌ COLD",""))))),"")</f>
        <v/>
      </c>
      <c r="AC80" s="31">
        <f>IFERROR(IF(AND(AA80&gt;=60,OR(W80="Yes",W80="Later")),"🚨 URGENT",IF(AND(AA80&gt;=40,I80="Call Back"),"📞 CALL BACK",IF(I80="Booked Meeting","📅 BOOKED",IF(I80="Not Interested","🚫 DEAD","⏳ WORKING")))),"")</f>
        <v/>
      </c>
      <c r="AD80" s="42" t="n"/>
      <c r="AE80" s="38" t="n"/>
      <c r="AF80" s="33">
        <f>IFERROR(IF(AE80="","",AE80-TODAY()),"")</f>
        <v/>
      </c>
      <c r="AG80" s="40" t="n"/>
    </row>
    <row r="81" ht="19.5" customHeight="1" s="105">
      <c r="A81" s="46" t="inlineStr">
        <is>
          <t>All Aboard Services</t>
        </is>
      </c>
      <c r="B81" s="47" t="inlineStr">
        <is>
          <t>(801) 628-9396</t>
        </is>
      </c>
      <c r="C81" s="47" t="inlineStr">
        <is>
          <t>Ogden</t>
        </is>
      </c>
      <c r="D81" s="49" t="inlineStr">
        <is>
          <t>N/A</t>
        </is>
      </c>
      <c r="E81" s="44" t="n"/>
      <c r="F81" s="44" t="n"/>
      <c r="G81" s="44" t="n"/>
      <c r="H81" s="23" t="n"/>
      <c r="I81" s="44" t="n"/>
      <c r="J81" s="44" t="n"/>
      <c r="K81" s="23" t="n"/>
      <c r="L81" s="44" t="n"/>
      <c r="M81" s="44" t="n"/>
      <c r="N81" s="44" t="n"/>
      <c r="O81" s="44" t="n"/>
      <c r="P81" s="44" t="n"/>
      <c r="Q81" s="44" t="n"/>
      <c r="R81" s="44" t="n"/>
      <c r="S81" s="44" t="n"/>
      <c r="T81" s="44" t="n"/>
      <c r="U81" s="44" t="n"/>
      <c r="V81" s="21">
        <f>IFERROR(ROUND((IF(Q81="Severe",4,IF(Q81="Moderate",3,IF(Q81="Minor",2,0)))+IF(R81="Severe",4,IF(R81="Moderate",3,IF(R81="Minor",2,0)))+IF(S81="Severe",4,IF(S81="Moderate",3,IF(S81="Minor",2,0)))+IF(T81="Severe",4,IF(T81="Moderate",3,IF(T81="Minor",2,0))))/16*100,0),"")</f>
        <v/>
      </c>
      <c r="W81" s="23" t="n"/>
      <c r="X81" s="44" t="n"/>
      <c r="Y81" s="44" t="n"/>
      <c r="Z81" s="44" t="n"/>
      <c r="AA81" s="22">
        <f>IFERROR(ROUND(IF(H81&gt;=10,30,IF(H81&gt;=5,20,IF(H81&gt;=2,10,0)))+IF(K81="Yes",20,IF(K81="Unsure",10,0))+IF(W81="Yes",30,IF(W81="Later",15,0))+IFERROR(V81/100*20,0)+IF(L81="Interested",15,IF(L81="Open But Busy",10,IF(L81="Neutral",5,0))),0),"")</f>
        <v/>
      </c>
      <c r="AB81" s="23">
        <f>IFERROR(IF(AA81&gt;=80,"🔥 HOT",IF(AA81&gt;=60,"✅ STRONG",IF(AA81&gt;=40,"⚡ WARM",IF(AA81&gt;=20,"📋 NURTURE",IF(AA81&gt;0,"❌ COLD",""))))),"")</f>
        <v/>
      </c>
      <c r="AC81" s="23">
        <f>IFERROR(IF(AND(AA81&gt;=60,OR(W81="Yes",W81="Later")),"🚨 URGENT",IF(AND(AA81&gt;=40,I81="Call Back"),"📞 CALL BACK",IF(I81="Booked Meeting","📅 BOOKED",IF(I81="Not Interested","🚫 DEAD","⏳ WORKING")))),"")</f>
        <v/>
      </c>
      <c r="AD81" s="45" t="n"/>
      <c r="AE81" s="37" t="n"/>
      <c r="AF81" s="25">
        <f>IFERROR(IF(AE81="","",AE81-TODAY()),"")</f>
        <v/>
      </c>
      <c r="AG81" s="44" t="n"/>
    </row>
    <row r="82" ht="19.5" customHeight="1" s="105">
      <c r="A82" s="46" t="inlineStr">
        <is>
          <t>Preventive Home Solutions HVAC</t>
        </is>
      </c>
      <c r="B82" s="47" t="inlineStr">
        <is>
          <t>(801) 985-9869</t>
        </is>
      </c>
      <c r="C82" s="47" t="inlineStr">
        <is>
          <t>Ogden</t>
        </is>
      </c>
      <c r="D82" s="49" t="inlineStr">
        <is>
          <t>N/A</t>
        </is>
      </c>
      <c r="E82" s="40" t="n"/>
      <c r="F82" s="40" t="n"/>
      <c r="G82" s="40" t="n"/>
      <c r="H82" s="31" t="n"/>
      <c r="I82" s="40" t="n"/>
      <c r="J82" s="40" t="n"/>
      <c r="K82" s="31" t="n"/>
      <c r="L82" s="40" t="n"/>
      <c r="M82" s="40" t="n"/>
      <c r="N82" s="40" t="n"/>
      <c r="O82" s="40" t="n"/>
      <c r="P82" s="40" t="n"/>
      <c r="Q82" s="40" t="n"/>
      <c r="R82" s="40" t="n"/>
      <c r="S82" s="40" t="n"/>
      <c r="T82" s="40" t="n"/>
      <c r="U82" s="40" t="n"/>
      <c r="V82" s="29">
        <f>IFERROR(ROUND((IF(Q82="Severe",4,IF(Q82="Moderate",3,IF(Q82="Minor",2,0)))+IF(R82="Severe",4,IF(R82="Moderate",3,IF(R82="Minor",2,0)))+IF(S82="Severe",4,IF(S82="Moderate",3,IF(S82="Minor",2,0)))+IF(T82="Severe",4,IF(T82="Moderate",3,IF(T82="Minor",2,0))))/16*100,0),"")</f>
        <v/>
      </c>
      <c r="W82" s="31" t="n"/>
      <c r="X82" s="40" t="n"/>
      <c r="Y82" s="40" t="n"/>
      <c r="Z82" s="40" t="n"/>
      <c r="AA82" s="30">
        <f>IFERROR(ROUND(IF(H82&gt;=10,30,IF(H82&gt;=5,20,IF(H82&gt;=2,10,0)))+IF(K82="Yes",20,IF(K82="Unsure",10,0))+IF(W82="Yes",30,IF(W82="Later",15,0))+IFERROR(V82/100*20,0)+IF(L82="Interested",15,IF(L82="Open But Busy",10,IF(L82="Neutral",5,0))),0),"")</f>
        <v/>
      </c>
      <c r="AB82" s="31">
        <f>IFERROR(IF(AA82&gt;=80,"🔥 HOT",IF(AA82&gt;=60,"✅ STRONG",IF(AA82&gt;=40,"⚡ WARM",IF(AA82&gt;=20,"📋 NURTURE",IF(AA82&gt;0,"❌ COLD",""))))),"")</f>
        <v/>
      </c>
      <c r="AC82" s="31">
        <f>IFERROR(IF(AND(AA82&gt;=60,OR(W82="Yes",W82="Later")),"🚨 URGENT",IF(AND(AA82&gt;=40,I82="Call Back"),"📞 CALL BACK",IF(I82="Booked Meeting","📅 BOOKED",IF(I82="Not Interested","🚫 DEAD","⏳ WORKING")))),"")</f>
        <v/>
      </c>
      <c r="AD82" s="42" t="n"/>
      <c r="AE82" s="38" t="n"/>
      <c r="AF82" s="33">
        <f>IFERROR(IF(AE82="","",AE82-TODAY()),"")</f>
        <v/>
      </c>
      <c r="AG82" s="40" t="n"/>
    </row>
    <row r="83" ht="19.5" customHeight="1" s="105">
      <c r="A83" s="46" t="inlineStr">
        <is>
          <t>Tylor's Heating &amp; Air Conditioning</t>
        </is>
      </c>
      <c r="B83" s="47" t="inlineStr">
        <is>
          <t>(801) 721-0988</t>
        </is>
      </c>
      <c r="C83" s="47" t="inlineStr">
        <is>
          <t>Ogden</t>
        </is>
      </c>
      <c r="D83" s="49" t="inlineStr">
        <is>
          <t>N/A</t>
        </is>
      </c>
      <c r="E83" s="44" t="n"/>
      <c r="F83" s="44" t="n"/>
      <c r="G83" s="44" t="n"/>
      <c r="H83" s="23" t="n"/>
      <c r="I83" s="44" t="n"/>
      <c r="J83" s="44" t="n"/>
      <c r="K83" s="23" t="n"/>
      <c r="L83" s="44" t="n"/>
      <c r="M83" s="44" t="n"/>
      <c r="N83" s="44" t="n"/>
      <c r="O83" s="44" t="n"/>
      <c r="P83" s="44" t="n"/>
      <c r="Q83" s="44" t="n"/>
      <c r="R83" s="44" t="n"/>
      <c r="S83" s="44" t="n"/>
      <c r="T83" s="44" t="n"/>
      <c r="U83" s="44" t="n"/>
      <c r="V83" s="21">
        <f>IFERROR(ROUND((IF(Q83="Severe",4,IF(Q83="Moderate",3,IF(Q83="Minor",2,0)))+IF(R83="Severe",4,IF(R83="Moderate",3,IF(R83="Minor",2,0)))+IF(S83="Severe",4,IF(S83="Moderate",3,IF(S83="Minor",2,0)))+IF(T83="Severe",4,IF(T83="Moderate",3,IF(T83="Minor",2,0))))/16*100,0),"")</f>
        <v/>
      </c>
      <c r="W83" s="23" t="n"/>
      <c r="X83" s="44" t="n"/>
      <c r="Y83" s="44" t="n"/>
      <c r="Z83" s="44" t="n"/>
      <c r="AA83" s="22">
        <f>IFERROR(ROUND(IF(H83&gt;=10,30,IF(H83&gt;=5,20,IF(H83&gt;=2,10,0)))+IF(K83="Yes",20,IF(K83="Unsure",10,0))+IF(W83="Yes",30,IF(W83="Later",15,0))+IFERROR(V83/100*20,0)+IF(L83="Interested",15,IF(L83="Open But Busy",10,IF(L83="Neutral",5,0))),0),"")</f>
        <v/>
      </c>
      <c r="AB83" s="23">
        <f>IFERROR(IF(AA83&gt;=80,"🔥 HOT",IF(AA83&gt;=60,"✅ STRONG",IF(AA83&gt;=40,"⚡ WARM",IF(AA83&gt;=20,"📋 NURTURE",IF(AA83&gt;0,"❌ COLD",""))))),"")</f>
        <v/>
      </c>
      <c r="AC83" s="23">
        <f>IFERROR(IF(AND(AA83&gt;=60,OR(W83="Yes",W83="Later")),"🚨 URGENT",IF(AND(AA83&gt;=40,I83="Call Back"),"📞 CALL BACK",IF(I83="Booked Meeting","📅 BOOKED",IF(I83="Not Interested","🚫 DEAD","⏳ WORKING")))),"")</f>
        <v/>
      </c>
      <c r="AD83" s="45" t="n"/>
      <c r="AE83" s="37" t="n"/>
      <c r="AF83" s="25">
        <f>IFERROR(IF(AE83="","",AE83-TODAY()),"")</f>
        <v/>
      </c>
      <c r="AG83" s="44" t="n"/>
    </row>
    <row r="84" ht="19.5" customHeight="1" s="105">
      <c r="A84" s="46" t="inlineStr">
        <is>
          <t>Call Climate Services</t>
        </is>
      </c>
      <c r="B84" s="47" t="inlineStr">
        <is>
          <t>(801) 295-1203</t>
        </is>
      </c>
      <c r="C84" s="47" t="inlineStr">
        <is>
          <t>Bountiful</t>
        </is>
      </c>
      <c r="D84" s="48" t="inlineStr">
        <is>
          <t>Click Here</t>
        </is>
      </c>
      <c r="E84" s="40" t="n"/>
      <c r="F84" s="40" t="n"/>
      <c r="G84" s="40" t="n"/>
      <c r="H84" s="31" t="n"/>
      <c r="I84" s="40" t="n"/>
      <c r="J84" s="40" t="n"/>
      <c r="K84" s="31" t="n"/>
      <c r="L84" s="40" t="n"/>
      <c r="M84" s="40" t="n"/>
      <c r="N84" s="40" t="n"/>
      <c r="O84" s="40" t="n"/>
      <c r="P84" s="40" t="n"/>
      <c r="Q84" s="40" t="n"/>
      <c r="R84" s="40" t="n"/>
      <c r="S84" s="40" t="n"/>
      <c r="T84" s="40" t="n"/>
      <c r="U84" s="40" t="n"/>
      <c r="V84" s="29">
        <f>IFERROR(ROUND((IF(Q84="Severe",4,IF(Q84="Moderate",3,IF(Q84="Minor",2,0)))+IF(R84="Severe",4,IF(R84="Moderate",3,IF(R84="Minor",2,0)))+IF(S84="Severe",4,IF(S84="Moderate",3,IF(S84="Minor",2,0)))+IF(T84="Severe",4,IF(T84="Moderate",3,IF(T84="Minor",2,0))))/16*100,0),"")</f>
        <v/>
      </c>
      <c r="W84" s="31" t="n"/>
      <c r="X84" s="40" t="n"/>
      <c r="Y84" s="40" t="n"/>
      <c r="Z84" s="40" t="n"/>
      <c r="AA84" s="30">
        <f>IFERROR(ROUND(IF(H84&gt;=10,30,IF(H84&gt;=5,20,IF(H84&gt;=2,10,0)))+IF(K84="Yes",20,IF(K84="Unsure",10,0))+IF(W84="Yes",30,IF(W84="Later",15,0))+IFERROR(V84/100*20,0)+IF(L84="Interested",15,IF(L84="Open But Busy",10,IF(L84="Neutral",5,0))),0),"")</f>
        <v/>
      </c>
      <c r="AB84" s="31">
        <f>IFERROR(IF(AA84&gt;=80,"🔥 HOT",IF(AA84&gt;=60,"✅ STRONG",IF(AA84&gt;=40,"⚡ WARM",IF(AA84&gt;=20,"📋 NURTURE",IF(AA84&gt;0,"❌ COLD",""))))),"")</f>
        <v/>
      </c>
      <c r="AC84" s="31">
        <f>IFERROR(IF(AND(AA84&gt;=60,OR(W84="Yes",W84="Later")),"🚨 URGENT",IF(AND(AA84&gt;=40,I84="Call Back"),"📞 CALL BACK",IF(I84="Booked Meeting","📅 BOOKED",IF(I84="Not Interested","🚫 DEAD","⏳ WORKING")))),"")</f>
        <v/>
      </c>
      <c r="AD84" s="42" t="n"/>
      <c r="AE84" s="38" t="n"/>
      <c r="AF84" s="33">
        <f>IFERROR(IF(AE84="","",AE84-TODAY()),"")</f>
        <v/>
      </c>
      <c r="AG84" s="40" t="n"/>
    </row>
    <row r="85" ht="19.5" customHeight="1" s="105">
      <c r="A85" s="46" t="inlineStr">
        <is>
          <t>Wasatch Front Heating &amp; Cooling</t>
        </is>
      </c>
      <c r="B85" s="47" t="inlineStr">
        <is>
          <t>(801) 525-3338</t>
        </is>
      </c>
      <c r="C85" s="47" t="inlineStr">
        <is>
          <t>Clearfield</t>
        </is>
      </c>
      <c r="D85" s="48" t="inlineStr">
        <is>
          <t>Click Here</t>
        </is>
      </c>
      <c r="E85" s="44" t="n"/>
      <c r="F85" s="44" t="n"/>
      <c r="G85" s="44" t="n"/>
      <c r="H85" s="23" t="n"/>
      <c r="I85" s="44" t="n"/>
      <c r="J85" s="44" t="n"/>
      <c r="K85" s="23" t="n"/>
      <c r="L85" s="44" t="n"/>
      <c r="M85" s="44" t="n"/>
      <c r="N85" s="44" t="n"/>
      <c r="O85" s="44" t="n"/>
      <c r="P85" s="44" t="n"/>
      <c r="Q85" s="44" t="n"/>
      <c r="R85" s="44" t="n"/>
      <c r="S85" s="44" t="n"/>
      <c r="T85" s="44" t="n"/>
      <c r="U85" s="44" t="n"/>
      <c r="V85" s="21">
        <f>IFERROR(ROUND((IF(Q85="Severe",4,IF(Q85="Moderate",3,IF(Q85="Minor",2,0)))+IF(R85="Severe",4,IF(R85="Moderate",3,IF(R85="Minor",2,0)))+IF(S85="Severe",4,IF(S85="Moderate",3,IF(S85="Minor",2,0)))+IF(T85="Severe",4,IF(T85="Moderate",3,IF(T85="Minor",2,0))))/16*100,0),"")</f>
        <v/>
      </c>
      <c r="W85" s="23" t="n"/>
      <c r="X85" s="44" t="n"/>
      <c r="Y85" s="44" t="n"/>
      <c r="Z85" s="44" t="n"/>
      <c r="AA85" s="22">
        <f>IFERROR(ROUND(IF(H85&gt;=10,30,IF(H85&gt;=5,20,IF(H85&gt;=2,10,0)))+IF(K85="Yes",20,IF(K85="Unsure",10,0))+IF(W85="Yes",30,IF(W85="Later",15,0))+IFERROR(V85/100*20,0)+IF(L85="Interested",15,IF(L85="Open But Busy",10,IF(L85="Neutral",5,0))),0),"")</f>
        <v/>
      </c>
      <c r="AB85" s="23">
        <f>IFERROR(IF(AA85&gt;=80,"🔥 HOT",IF(AA85&gt;=60,"✅ STRONG",IF(AA85&gt;=40,"⚡ WARM",IF(AA85&gt;=20,"📋 NURTURE",IF(AA85&gt;0,"❌ COLD",""))))),"")</f>
        <v/>
      </c>
      <c r="AC85" s="23">
        <f>IFERROR(IF(AND(AA85&gt;=60,OR(W85="Yes",W85="Later")),"🚨 URGENT",IF(AND(AA85&gt;=40,I85="Call Back"),"📞 CALL BACK",IF(I85="Booked Meeting","📅 BOOKED",IF(I85="Not Interested","🚫 DEAD","⏳ WORKING")))),"")</f>
        <v/>
      </c>
      <c r="AD85" s="45" t="n"/>
      <c r="AE85" s="37" t="n"/>
      <c r="AF85" s="25">
        <f>IFERROR(IF(AE85="","",AE85-TODAY()),"")</f>
        <v/>
      </c>
      <c r="AG85" s="44" t="n"/>
    </row>
    <row r="86" ht="19.5" customHeight="1" s="105">
      <c r="A86" s="46" t="inlineStr">
        <is>
          <t>Salmon HVAC - Davis</t>
        </is>
      </c>
      <c r="B86" s="47" t="inlineStr">
        <is>
          <t>(801) 335-9079</t>
        </is>
      </c>
      <c r="C86" s="47" t="inlineStr">
        <is>
          <t>Centerville</t>
        </is>
      </c>
      <c r="D86" s="48" t="inlineStr">
        <is>
          <t>Click Here</t>
        </is>
      </c>
      <c r="E86" s="40" t="n"/>
      <c r="F86" s="40" t="n"/>
      <c r="G86" s="40" t="n"/>
      <c r="H86" s="31" t="n"/>
      <c r="I86" s="40" t="n"/>
      <c r="J86" s="40" t="n"/>
      <c r="K86" s="31" t="n"/>
      <c r="L86" s="40" t="n"/>
      <c r="M86" s="40" t="n"/>
      <c r="N86" s="40" t="n"/>
      <c r="O86" s="40" t="n"/>
      <c r="P86" s="40" t="n"/>
      <c r="Q86" s="40" t="n"/>
      <c r="R86" s="40" t="n"/>
      <c r="S86" s="40" t="n"/>
      <c r="T86" s="40" t="n"/>
      <c r="U86" s="40" t="n"/>
      <c r="V86" s="29">
        <f>IFERROR(ROUND((IF(Q86="Severe",4,IF(Q86="Moderate",3,IF(Q86="Minor",2,0)))+IF(R86="Severe",4,IF(R86="Moderate",3,IF(R86="Minor",2,0)))+IF(S86="Severe",4,IF(S86="Moderate",3,IF(S86="Minor",2,0)))+IF(T86="Severe",4,IF(T86="Moderate",3,IF(T86="Minor",2,0))))/16*100,0),"")</f>
        <v/>
      </c>
      <c r="W86" s="31" t="n"/>
      <c r="X86" s="40" t="n"/>
      <c r="Y86" s="40" t="n"/>
      <c r="Z86" s="40" t="n"/>
      <c r="AA86" s="30">
        <f>IFERROR(ROUND(IF(H86&gt;=10,30,IF(H86&gt;=5,20,IF(H86&gt;=2,10,0)))+IF(K86="Yes",20,IF(K86="Unsure",10,0))+IF(W86="Yes",30,IF(W86="Later",15,0))+IFERROR(V86/100*20,0)+IF(L86="Interested",15,IF(L86="Open But Busy",10,IF(L86="Neutral",5,0))),0),"")</f>
        <v/>
      </c>
      <c r="AB86" s="31">
        <f>IFERROR(IF(AA86&gt;=80,"🔥 HOT",IF(AA86&gt;=60,"✅ STRONG",IF(AA86&gt;=40,"⚡ WARM",IF(AA86&gt;=20,"📋 NURTURE",IF(AA86&gt;0,"❌ COLD",""))))),"")</f>
        <v/>
      </c>
      <c r="AC86" s="31">
        <f>IFERROR(IF(AND(AA86&gt;=60,OR(W86="Yes",W86="Later")),"🚨 URGENT",IF(AND(AA86&gt;=40,I86="Call Back"),"📞 CALL BACK",IF(I86="Booked Meeting","📅 BOOKED",IF(I86="Not Interested","🚫 DEAD","⏳ WORKING")))),"")</f>
        <v/>
      </c>
      <c r="AD86" s="42" t="n"/>
      <c r="AE86" s="38" t="n"/>
      <c r="AF86" s="33">
        <f>IFERROR(IF(AE86="","",AE86-TODAY()),"")</f>
        <v/>
      </c>
      <c r="AG86" s="40" t="n"/>
    </row>
    <row r="87" ht="19.5" customHeight="1" s="105">
      <c r="A87" s="46" t="inlineStr">
        <is>
          <t>Mountain Home Services Davis</t>
        </is>
      </c>
      <c r="B87" s="47" t="inlineStr">
        <is>
          <t>(801) 628-9999</t>
        </is>
      </c>
      <c r="C87" s="47" t="inlineStr">
        <is>
          <t>Layton</t>
        </is>
      </c>
      <c r="D87" s="48" t="inlineStr">
        <is>
          <t>Click Here</t>
        </is>
      </c>
      <c r="E87" s="44" t="n"/>
      <c r="F87" s="44" t="n"/>
      <c r="G87" s="44" t="n"/>
      <c r="H87" s="23" t="n"/>
      <c r="I87" s="44" t="n"/>
      <c r="J87" s="44" t="n"/>
      <c r="K87" s="23" t="n"/>
      <c r="L87" s="44" t="n"/>
      <c r="M87" s="44" t="n"/>
      <c r="N87" s="44" t="n"/>
      <c r="O87" s="44" t="n"/>
      <c r="P87" s="44" t="n"/>
      <c r="Q87" s="44" t="n"/>
      <c r="R87" s="44" t="n"/>
      <c r="S87" s="44" t="n"/>
      <c r="T87" s="44" t="n"/>
      <c r="U87" s="44" t="n"/>
      <c r="V87" s="21">
        <f>IFERROR(ROUND((IF(Q87="Severe",4,IF(Q87="Moderate",3,IF(Q87="Minor",2,0)))+IF(R87="Severe",4,IF(R87="Moderate",3,IF(R87="Minor",2,0)))+IF(S87="Severe",4,IF(S87="Moderate",3,IF(S87="Minor",2,0)))+IF(T87="Severe",4,IF(T87="Moderate",3,IF(T87="Minor",2,0))))/16*100,0),"")</f>
        <v/>
      </c>
      <c r="W87" s="23" t="n"/>
      <c r="X87" s="44" t="n"/>
      <c r="Y87" s="44" t="n"/>
      <c r="Z87" s="44" t="n"/>
      <c r="AA87" s="22">
        <f>IFERROR(ROUND(IF(H87&gt;=10,30,IF(H87&gt;=5,20,IF(H87&gt;=2,10,0)))+IF(K87="Yes",20,IF(K87="Unsure",10,0))+IF(W87="Yes",30,IF(W87="Later",15,0))+IFERROR(V87/100*20,0)+IF(L87="Interested",15,IF(L87="Open But Busy",10,IF(L87="Neutral",5,0))),0),"")</f>
        <v/>
      </c>
      <c r="AB87" s="23">
        <f>IFERROR(IF(AA87&gt;=80,"🔥 HOT",IF(AA87&gt;=60,"✅ STRONG",IF(AA87&gt;=40,"⚡ WARM",IF(AA87&gt;=20,"📋 NURTURE",IF(AA87&gt;0,"❌ COLD",""))))),"")</f>
        <v/>
      </c>
      <c r="AC87" s="23">
        <f>IFERROR(IF(AND(AA87&gt;=60,OR(W87="Yes",W87="Later")),"🚨 URGENT",IF(AND(AA87&gt;=40,I87="Call Back"),"📞 CALL BACK",IF(I87="Booked Meeting","📅 BOOKED",IF(I87="Not Interested","🚫 DEAD","⏳ WORKING")))),"")</f>
        <v/>
      </c>
      <c r="AD87" s="45" t="n"/>
      <c r="AE87" s="37" t="n"/>
      <c r="AF87" s="25">
        <f>IFERROR(IF(AE87="","",AE87-TODAY()),"")</f>
        <v/>
      </c>
      <c r="AG87" s="44" t="n"/>
    </row>
    <row r="88" ht="19.5" customHeight="1" s="105">
      <c r="A88" s="46" t="inlineStr">
        <is>
          <t>Western Heating &amp; Air - Utah Co</t>
        </is>
      </c>
      <c r="B88" s="47" t="inlineStr">
        <is>
          <t>(801) 772-1622</t>
        </is>
      </c>
      <c r="C88" s="47" t="inlineStr">
        <is>
          <t>Lehi</t>
        </is>
      </c>
      <c r="D88" s="48" t="inlineStr">
        <is>
          <t>Click Here</t>
        </is>
      </c>
      <c r="E88" s="40" t="n"/>
      <c r="F88" s="40" t="n"/>
      <c r="G88" s="40" t="n"/>
      <c r="H88" s="31" t="n"/>
      <c r="I88" s="40" t="n"/>
      <c r="J88" s="40" t="n"/>
      <c r="K88" s="31" t="n"/>
      <c r="L88" s="40" t="n"/>
      <c r="M88" s="40" t="n"/>
      <c r="N88" s="40" t="n"/>
      <c r="O88" s="40" t="n"/>
      <c r="P88" s="40" t="n"/>
      <c r="Q88" s="40" t="n"/>
      <c r="R88" s="40" t="n"/>
      <c r="S88" s="40" t="n"/>
      <c r="T88" s="40" t="n"/>
      <c r="U88" s="40" t="n"/>
      <c r="V88" s="29">
        <f>IFERROR(ROUND((IF(Q88="Severe",4,IF(Q88="Moderate",3,IF(Q88="Minor",2,0)))+IF(R88="Severe",4,IF(R88="Moderate",3,IF(R88="Minor",2,0)))+IF(S88="Severe",4,IF(S88="Moderate",3,IF(S88="Minor",2,0)))+IF(T88="Severe",4,IF(T88="Moderate",3,IF(T88="Minor",2,0))))/16*100,0),"")</f>
        <v/>
      </c>
      <c r="W88" s="31" t="n"/>
      <c r="X88" s="40" t="n"/>
      <c r="Y88" s="40" t="n"/>
      <c r="Z88" s="40" t="n"/>
      <c r="AA88" s="30">
        <f>IFERROR(ROUND(IF(H88&gt;=10,30,IF(H88&gt;=5,20,IF(H88&gt;=2,10,0)))+IF(K88="Yes",20,IF(K88="Unsure",10,0))+IF(W88="Yes",30,IF(W88="Later",15,0))+IFERROR(V88/100*20,0)+IF(L88="Interested",15,IF(L88="Open But Busy",10,IF(L88="Neutral",5,0))),0),"")</f>
        <v/>
      </c>
      <c r="AB88" s="31">
        <f>IFERROR(IF(AA88&gt;=80,"🔥 HOT",IF(AA88&gt;=60,"✅ STRONG",IF(AA88&gt;=40,"⚡ WARM",IF(AA88&gt;=20,"📋 NURTURE",IF(AA88&gt;0,"❌ COLD",""))))),"")</f>
        <v/>
      </c>
      <c r="AC88" s="31">
        <f>IFERROR(IF(AND(AA88&gt;=60,OR(W88="Yes",W88="Later")),"🚨 URGENT",IF(AND(AA88&gt;=40,I88="Call Back"),"📞 CALL BACK",IF(I88="Booked Meeting","📅 BOOKED",IF(I88="Not Interested","🚫 DEAD","⏳ WORKING")))),"")</f>
        <v/>
      </c>
      <c r="AD88" s="42" t="n"/>
      <c r="AE88" s="38" t="n"/>
      <c r="AF88" s="33">
        <f>IFERROR(IF(AE88="","",AE88-TODAY()),"")</f>
        <v/>
      </c>
      <c r="AG88" s="40" t="n"/>
    </row>
    <row r="89" ht="19.5" customHeight="1" s="105">
      <c r="A89" s="46" t="inlineStr">
        <is>
          <t>American HVAC</t>
        </is>
      </c>
      <c r="B89" s="47" t="inlineStr">
        <is>
          <t>(801) 226-3329</t>
        </is>
      </c>
      <c r="C89" s="47" t="inlineStr">
        <is>
          <t>Orem</t>
        </is>
      </c>
      <c r="D89" s="48" t="inlineStr">
        <is>
          <t>Click Here</t>
        </is>
      </c>
      <c r="E89" s="44" t="n"/>
      <c r="F89" s="44" t="n"/>
      <c r="G89" s="44" t="n"/>
      <c r="H89" s="23" t="n"/>
      <c r="I89" s="44" t="n"/>
      <c r="J89" s="44" t="n"/>
      <c r="K89" s="23" t="n"/>
      <c r="L89" s="44" t="n"/>
      <c r="M89" s="44" t="n"/>
      <c r="N89" s="44" t="n"/>
      <c r="O89" s="44" t="n"/>
      <c r="P89" s="44" t="n"/>
      <c r="Q89" s="44" t="n"/>
      <c r="R89" s="44" t="n"/>
      <c r="S89" s="44" t="n"/>
      <c r="T89" s="44" t="n"/>
      <c r="U89" s="44" t="n"/>
      <c r="V89" s="21">
        <f>IFERROR(ROUND((IF(Q89="Severe",4,IF(Q89="Moderate",3,IF(Q89="Minor",2,0)))+IF(R89="Severe",4,IF(R89="Moderate",3,IF(R89="Minor",2,0)))+IF(S89="Severe",4,IF(S89="Moderate",3,IF(S89="Minor",2,0)))+IF(T89="Severe",4,IF(T89="Moderate",3,IF(T89="Minor",2,0))))/16*100,0),"")</f>
        <v/>
      </c>
      <c r="W89" s="23" t="n"/>
      <c r="X89" s="44" t="n"/>
      <c r="Y89" s="44" t="n"/>
      <c r="Z89" s="44" t="n"/>
      <c r="AA89" s="22">
        <f>IFERROR(ROUND(IF(H89&gt;=10,30,IF(H89&gt;=5,20,IF(H89&gt;=2,10,0)))+IF(K89="Yes",20,IF(K89="Unsure",10,0))+IF(W89="Yes",30,IF(W89="Later",15,0))+IFERROR(V89/100*20,0)+IF(L89="Interested",15,IF(L89="Open But Busy",10,IF(L89="Neutral",5,0))),0),"")</f>
        <v/>
      </c>
      <c r="AB89" s="23">
        <f>IFERROR(IF(AA89&gt;=80,"🔥 HOT",IF(AA89&gt;=60,"✅ STRONG",IF(AA89&gt;=40,"⚡ WARM",IF(AA89&gt;=20,"📋 NURTURE",IF(AA89&gt;0,"❌ COLD",""))))),"")</f>
        <v/>
      </c>
      <c r="AC89" s="23">
        <f>IFERROR(IF(AND(AA89&gt;=60,OR(W89="Yes",W89="Later")),"🚨 URGENT",IF(AND(AA89&gt;=40,I89="Call Back"),"📞 CALL BACK",IF(I89="Booked Meeting","📅 BOOKED",IF(I89="Not Interested","🚫 DEAD","⏳ WORKING")))),"")</f>
        <v/>
      </c>
      <c r="AD89" s="45" t="n"/>
      <c r="AE89" s="37" t="n"/>
      <c r="AF89" s="25">
        <f>IFERROR(IF(AE89="","",AE89-TODAY()),"")</f>
        <v/>
      </c>
      <c r="AG89" s="44" t="n"/>
    </row>
    <row r="90" ht="19.5" customHeight="1" s="105">
      <c r="A90" s="46" t="inlineStr">
        <is>
          <t>Triple-T Heating Cooling Plumbing</t>
        </is>
      </c>
      <c r="B90" s="47" t="inlineStr">
        <is>
          <t>(801) 798-7711</t>
        </is>
      </c>
      <c r="C90" s="47" t="inlineStr">
        <is>
          <t>Spanish Fork</t>
        </is>
      </c>
      <c r="D90" s="48" t="inlineStr">
        <is>
          <t>Click Here</t>
        </is>
      </c>
      <c r="E90" s="40" t="n"/>
      <c r="F90" s="40" t="n"/>
      <c r="G90" s="40" t="n"/>
      <c r="H90" s="31" t="n"/>
      <c r="I90" s="40" t="n"/>
      <c r="J90" s="40" t="n"/>
      <c r="K90" s="31" t="n"/>
      <c r="L90" s="40" t="n"/>
      <c r="M90" s="40" t="n"/>
      <c r="N90" s="40" t="n"/>
      <c r="O90" s="40" t="n"/>
      <c r="P90" s="40" t="n"/>
      <c r="Q90" s="40" t="n"/>
      <c r="R90" s="40" t="n"/>
      <c r="S90" s="40" t="n"/>
      <c r="T90" s="40" t="n"/>
      <c r="U90" s="40" t="n"/>
      <c r="V90" s="29">
        <f>IFERROR(ROUND((IF(Q90="Severe",4,IF(Q90="Moderate",3,IF(Q90="Minor",2,0)))+IF(R90="Severe",4,IF(R90="Moderate",3,IF(R90="Minor",2,0)))+IF(S90="Severe",4,IF(S90="Moderate",3,IF(S90="Minor",2,0)))+IF(T90="Severe",4,IF(T90="Moderate",3,IF(T90="Minor",2,0))))/16*100,0),"")</f>
        <v/>
      </c>
      <c r="W90" s="31" t="n"/>
      <c r="X90" s="40" t="n"/>
      <c r="Y90" s="40" t="n"/>
      <c r="Z90" s="40" t="n"/>
      <c r="AA90" s="30">
        <f>IFERROR(ROUND(IF(H90&gt;=10,30,IF(H90&gt;=5,20,IF(H90&gt;=2,10,0)))+IF(K90="Yes",20,IF(K90="Unsure",10,0))+IF(W90="Yes",30,IF(W90="Later",15,0))+IFERROR(V90/100*20,0)+IF(L90="Interested",15,IF(L90="Open But Busy",10,IF(L90="Neutral",5,0))),0),"")</f>
        <v/>
      </c>
      <c r="AB90" s="31">
        <f>IFERROR(IF(AA90&gt;=80,"🔥 HOT",IF(AA90&gt;=60,"✅ STRONG",IF(AA90&gt;=40,"⚡ WARM",IF(AA90&gt;=20,"📋 NURTURE",IF(AA90&gt;0,"❌ COLD",""))))),"")</f>
        <v/>
      </c>
      <c r="AC90" s="31">
        <f>IFERROR(IF(AND(AA90&gt;=60,OR(W90="Yes",W90="Later")),"🚨 URGENT",IF(AND(AA90&gt;=40,I90="Call Back"),"📞 CALL BACK",IF(I90="Booked Meeting","📅 BOOKED",IF(I90="Not Interested","🚫 DEAD","⏳ WORKING")))),"")</f>
        <v/>
      </c>
      <c r="AD90" s="42" t="n"/>
      <c r="AE90" s="38" t="n"/>
      <c r="AF90" s="33">
        <f>IFERROR(IF(AE90="","",AE90-TODAY()),"")</f>
        <v/>
      </c>
      <c r="AG90" s="40" t="n"/>
    </row>
    <row r="91" ht="19.5" customHeight="1" s="105">
      <c r="A91" s="46" t="inlineStr">
        <is>
          <t>The HVAC Guys</t>
        </is>
      </c>
      <c r="B91" s="47" t="inlineStr">
        <is>
          <t>(801) 335-9017</t>
        </is>
      </c>
      <c r="C91" s="47" t="inlineStr">
        <is>
          <t>Lehi</t>
        </is>
      </c>
      <c r="D91" s="48" t="inlineStr">
        <is>
          <t>Click Here</t>
        </is>
      </c>
      <c r="E91" s="44" t="n"/>
      <c r="F91" s="44" t="n"/>
      <c r="G91" s="44" t="n"/>
      <c r="H91" s="23" t="n"/>
      <c r="I91" s="44" t="n"/>
      <c r="J91" s="44" t="n"/>
      <c r="K91" s="23" t="n"/>
      <c r="L91" s="44" t="n"/>
      <c r="M91" s="44" t="n"/>
      <c r="N91" s="44" t="n"/>
      <c r="O91" s="44" t="n"/>
      <c r="P91" s="44" t="n"/>
      <c r="Q91" s="44" t="n"/>
      <c r="R91" s="44" t="n"/>
      <c r="S91" s="44" t="n"/>
      <c r="T91" s="44" t="n"/>
      <c r="U91" s="44" t="n"/>
      <c r="V91" s="21">
        <f>IFERROR(ROUND((IF(Q91="Severe",4,IF(Q91="Moderate",3,IF(Q91="Minor",2,0)))+IF(R91="Severe",4,IF(R91="Moderate",3,IF(R91="Minor",2,0)))+IF(S91="Severe",4,IF(S91="Moderate",3,IF(S91="Minor",2,0)))+IF(T91="Severe",4,IF(T91="Moderate",3,IF(T91="Minor",2,0))))/16*100,0),"")</f>
        <v/>
      </c>
      <c r="W91" s="23" t="n"/>
      <c r="X91" s="44" t="n"/>
      <c r="Y91" s="44" t="n"/>
      <c r="Z91" s="44" t="n"/>
      <c r="AA91" s="22">
        <f>IFERROR(ROUND(IF(H91&gt;=10,30,IF(H91&gt;=5,20,IF(H91&gt;=2,10,0)))+IF(K91="Yes",20,IF(K91="Unsure",10,0))+IF(W91="Yes",30,IF(W91="Later",15,0))+IFERROR(V91/100*20,0)+IF(L91="Interested",15,IF(L91="Open But Busy",10,IF(L91="Neutral",5,0))),0),"")</f>
        <v/>
      </c>
      <c r="AB91" s="23">
        <f>IFERROR(IF(AA91&gt;=80,"🔥 HOT",IF(AA91&gt;=60,"✅ STRONG",IF(AA91&gt;=40,"⚡ WARM",IF(AA91&gt;=20,"📋 NURTURE",IF(AA91&gt;0,"❌ COLD",""))))),"")</f>
        <v/>
      </c>
      <c r="AC91" s="23">
        <f>IFERROR(IF(AND(AA91&gt;=60,OR(W91="Yes",W91="Later")),"🚨 URGENT",IF(AND(AA91&gt;=40,I91="Call Back"),"📞 CALL BACK",IF(I91="Booked Meeting","📅 BOOKED",IF(I91="Not Interested","🚫 DEAD","⏳ WORKING")))),"")</f>
        <v/>
      </c>
      <c r="AD91" s="45" t="n"/>
      <c r="AE91" s="37" t="n"/>
      <c r="AF91" s="25">
        <f>IFERROR(IF(AE91="","",AE91-TODAY()),"")</f>
        <v/>
      </c>
      <c r="AG91" s="44" t="n"/>
    </row>
    <row r="92" ht="19.5" customHeight="1" s="105">
      <c r="A92" s="46" t="inlineStr">
        <is>
          <t>Mr. Good Guy Heating &amp; Air</t>
        </is>
      </c>
      <c r="B92" s="47" t="inlineStr">
        <is>
          <t>(385) 208-7777</t>
        </is>
      </c>
      <c r="C92" s="47" t="inlineStr">
        <is>
          <t>American Fork</t>
        </is>
      </c>
      <c r="D92" s="48" t="inlineStr">
        <is>
          <t>Click Here</t>
        </is>
      </c>
      <c r="E92" s="40" t="n"/>
      <c r="F92" s="40" t="n"/>
      <c r="G92" s="40" t="n"/>
      <c r="H92" s="31" t="n"/>
      <c r="I92" s="40" t="n"/>
      <c r="J92" s="40" t="n"/>
      <c r="K92" s="31" t="n"/>
      <c r="L92" s="40" t="n"/>
      <c r="M92" s="40" t="n"/>
      <c r="N92" s="40" t="n"/>
      <c r="O92" s="40" t="n"/>
      <c r="P92" s="40" t="n"/>
      <c r="Q92" s="40" t="n"/>
      <c r="R92" s="40" t="n"/>
      <c r="S92" s="40" t="n"/>
      <c r="T92" s="40" t="n"/>
      <c r="U92" s="40" t="n"/>
      <c r="V92" s="29">
        <f>IFERROR(ROUND((IF(Q92="Severe",4,IF(Q92="Moderate",3,IF(Q92="Minor",2,0)))+IF(R92="Severe",4,IF(R92="Moderate",3,IF(R92="Minor",2,0)))+IF(S92="Severe",4,IF(S92="Moderate",3,IF(S92="Minor",2,0)))+IF(T92="Severe",4,IF(T92="Moderate",3,IF(T92="Minor",2,0))))/16*100,0),"")</f>
        <v/>
      </c>
      <c r="W92" s="31" t="n"/>
      <c r="X92" s="40" t="n"/>
      <c r="Y92" s="40" t="n"/>
      <c r="Z92" s="40" t="n"/>
      <c r="AA92" s="30">
        <f>IFERROR(ROUND(IF(H92&gt;=10,30,IF(H92&gt;=5,20,IF(H92&gt;=2,10,0)))+IF(K92="Yes",20,IF(K92="Unsure",10,0))+IF(W92="Yes",30,IF(W92="Later",15,0))+IFERROR(V92/100*20,0)+IF(L92="Interested",15,IF(L92="Open But Busy",10,IF(L92="Neutral",5,0))),0),"")</f>
        <v/>
      </c>
      <c r="AB92" s="31">
        <f>IFERROR(IF(AA92&gt;=80,"🔥 HOT",IF(AA92&gt;=60,"✅ STRONG",IF(AA92&gt;=40,"⚡ WARM",IF(AA92&gt;=20,"📋 NURTURE",IF(AA92&gt;0,"❌ COLD",""))))),"")</f>
        <v/>
      </c>
      <c r="AC92" s="31">
        <f>IFERROR(IF(AND(AA92&gt;=60,OR(W92="Yes",W92="Later")),"🚨 URGENT",IF(AND(AA92&gt;=40,I92="Call Back"),"📞 CALL BACK",IF(I92="Booked Meeting","📅 BOOKED",IF(I92="Not Interested","🚫 DEAD","⏳ WORKING")))),"")</f>
        <v/>
      </c>
      <c r="AD92" s="42" t="n"/>
      <c r="AE92" s="38" t="n"/>
      <c r="AF92" s="33">
        <f>IFERROR(IF(AE92="","",AE92-TODAY()),"")</f>
        <v/>
      </c>
      <c r="AG92" s="40" t="n"/>
    </row>
    <row r="93" ht="19.5" customHeight="1" s="105">
      <c r="A93" s="46" t="inlineStr">
        <is>
          <t>Barwick Heating &amp; Cooling</t>
        </is>
      </c>
      <c r="B93" s="47" t="inlineStr">
        <is>
          <t>(801) 319-0003</t>
        </is>
      </c>
      <c r="C93" s="47" t="inlineStr">
        <is>
          <t>Orem</t>
        </is>
      </c>
      <c r="D93" s="48" t="inlineStr">
        <is>
          <t>Click Here</t>
        </is>
      </c>
      <c r="E93" s="44" t="n"/>
      <c r="F93" s="44" t="n"/>
      <c r="G93" s="44" t="n"/>
      <c r="H93" s="23" t="n"/>
      <c r="I93" s="44" t="n"/>
      <c r="J93" s="44" t="n"/>
      <c r="K93" s="23" t="n"/>
      <c r="L93" s="44" t="n"/>
      <c r="M93" s="44" t="n"/>
      <c r="N93" s="44" t="n"/>
      <c r="O93" s="44" t="n"/>
      <c r="P93" s="44" t="n"/>
      <c r="Q93" s="44" t="n"/>
      <c r="R93" s="44" t="n"/>
      <c r="S93" s="44" t="n"/>
      <c r="T93" s="44" t="n"/>
      <c r="U93" s="44" t="n"/>
      <c r="V93" s="21">
        <f>IFERROR(ROUND((IF(Q93="Severe",4,IF(Q93="Moderate",3,IF(Q93="Minor",2,0)))+IF(R93="Severe",4,IF(R93="Moderate",3,IF(R93="Minor",2,0)))+IF(S93="Severe",4,IF(S93="Moderate",3,IF(S93="Minor",2,0)))+IF(T93="Severe",4,IF(T93="Moderate",3,IF(T93="Minor",2,0))))/16*100,0),"")</f>
        <v/>
      </c>
      <c r="W93" s="23" t="n"/>
      <c r="X93" s="44" t="n"/>
      <c r="Y93" s="44" t="n"/>
      <c r="Z93" s="44" t="n"/>
      <c r="AA93" s="22">
        <f>IFERROR(ROUND(IF(H93&gt;=10,30,IF(H93&gt;=5,20,IF(H93&gt;=2,10,0)))+IF(K93="Yes",20,IF(K93="Unsure",10,0))+IF(W93="Yes",30,IF(W93="Later",15,0))+IFERROR(V93/100*20,0)+IF(L93="Interested",15,IF(L93="Open But Busy",10,IF(L93="Neutral",5,0))),0),"")</f>
        <v/>
      </c>
      <c r="AB93" s="23">
        <f>IFERROR(IF(AA93&gt;=80,"🔥 HOT",IF(AA93&gt;=60,"✅ STRONG",IF(AA93&gt;=40,"⚡ WARM",IF(AA93&gt;=20,"📋 NURTURE",IF(AA93&gt;0,"❌ COLD",""))))),"")</f>
        <v/>
      </c>
      <c r="AC93" s="23">
        <f>IFERROR(IF(AND(AA93&gt;=60,OR(W93="Yes",W93="Later")),"🚨 URGENT",IF(AND(AA93&gt;=40,I93="Call Back"),"📞 CALL BACK",IF(I93="Booked Meeting","📅 BOOKED",IF(I93="Not Interested","🚫 DEAD","⏳ WORKING")))),"")</f>
        <v/>
      </c>
      <c r="AD93" s="45" t="n"/>
      <c r="AE93" s="37" t="n"/>
      <c r="AF93" s="25">
        <f>IFERROR(IF(AE93="","",AE93-TODAY()),"")</f>
        <v/>
      </c>
      <c r="AG93" s="44" t="n"/>
    </row>
    <row r="94" ht="19.5" customHeight="1" s="105">
      <c r="A94" s="46" t="inlineStr">
        <is>
          <t>Best Heating &amp; Cooling Utah</t>
        </is>
      </c>
      <c r="B94" s="47" t="inlineStr">
        <is>
          <t>(801) 756-9304</t>
        </is>
      </c>
      <c r="C94" s="47" t="inlineStr">
        <is>
          <t>Highland</t>
        </is>
      </c>
      <c r="D94" s="48" t="inlineStr">
        <is>
          <t>Click Here</t>
        </is>
      </c>
      <c r="E94" s="40" t="n"/>
      <c r="F94" s="40" t="n"/>
      <c r="G94" s="40" t="n"/>
      <c r="H94" s="31" t="n"/>
      <c r="I94" s="40" t="n"/>
      <c r="J94" s="40" t="n"/>
      <c r="K94" s="31" t="n"/>
      <c r="L94" s="40" t="n"/>
      <c r="M94" s="40" t="n"/>
      <c r="N94" s="40" t="n"/>
      <c r="O94" s="40" t="n"/>
      <c r="P94" s="40" t="n"/>
      <c r="Q94" s="40" t="n"/>
      <c r="R94" s="40" t="n"/>
      <c r="S94" s="40" t="n"/>
      <c r="T94" s="40" t="n"/>
      <c r="U94" s="40" t="n"/>
      <c r="V94" s="29">
        <f>IFERROR(ROUND((IF(Q94="Severe",4,IF(Q94="Moderate",3,IF(Q94="Minor",2,0)))+IF(R94="Severe",4,IF(R94="Moderate",3,IF(R94="Minor",2,0)))+IF(S94="Severe",4,IF(S94="Moderate",3,IF(S94="Minor",2,0)))+IF(T94="Severe",4,IF(T94="Moderate",3,IF(T94="Minor",2,0))))/16*100,0),"")</f>
        <v/>
      </c>
      <c r="W94" s="31" t="n"/>
      <c r="X94" s="40" t="n"/>
      <c r="Y94" s="40" t="n"/>
      <c r="Z94" s="40" t="n"/>
      <c r="AA94" s="30">
        <f>IFERROR(ROUND(IF(H94&gt;=10,30,IF(H94&gt;=5,20,IF(H94&gt;=2,10,0)))+IF(K94="Yes",20,IF(K94="Unsure",10,0))+IF(W94="Yes",30,IF(W94="Later",15,0))+IFERROR(V94/100*20,0)+IF(L94="Interested",15,IF(L94="Open But Busy",10,IF(L94="Neutral",5,0))),0),"")</f>
        <v/>
      </c>
      <c r="AB94" s="31">
        <f>IFERROR(IF(AA94&gt;=80,"🔥 HOT",IF(AA94&gt;=60,"✅ STRONG",IF(AA94&gt;=40,"⚡ WARM",IF(AA94&gt;=20,"📋 NURTURE",IF(AA94&gt;0,"❌ COLD",""))))),"")</f>
        <v/>
      </c>
      <c r="AC94" s="31">
        <f>IFERROR(IF(AND(AA94&gt;=60,OR(W94="Yes",W94="Later")),"🚨 URGENT",IF(AND(AA94&gt;=40,I94="Call Back"),"📞 CALL BACK",IF(I94="Booked Meeting","📅 BOOKED",IF(I94="Not Interested","🚫 DEAD","⏳ WORKING")))),"")</f>
        <v/>
      </c>
      <c r="AD94" s="42" t="n"/>
      <c r="AE94" s="38" t="n"/>
      <c r="AF94" s="33">
        <f>IFERROR(IF(AE94="","",AE94-TODAY()),"")</f>
        <v/>
      </c>
      <c r="AG94" s="40" t="n"/>
    </row>
    <row r="95" ht="19.5" customHeight="1" s="105">
      <c r="A95" s="46" t="inlineStr">
        <is>
          <t>Hones Temperature Control</t>
        </is>
      </c>
      <c r="B95" s="47" t="inlineStr">
        <is>
          <t>(801) 754-3936</t>
        </is>
      </c>
      <c r="C95" s="47" t="inlineStr">
        <is>
          <t>Payson</t>
        </is>
      </c>
      <c r="D95" s="49" t="inlineStr">
        <is>
          <t>N/A</t>
        </is>
      </c>
      <c r="E95" s="44" t="n"/>
      <c r="F95" s="44" t="n"/>
      <c r="G95" s="44" t="n"/>
      <c r="H95" s="23" t="n"/>
      <c r="I95" s="44" t="n"/>
      <c r="J95" s="44" t="n"/>
      <c r="K95" s="23" t="n"/>
      <c r="L95" s="44" t="n"/>
      <c r="M95" s="44" t="n"/>
      <c r="N95" s="44" t="n"/>
      <c r="O95" s="44" t="n"/>
      <c r="P95" s="44" t="n"/>
      <c r="Q95" s="44" t="n"/>
      <c r="R95" s="44" t="n"/>
      <c r="S95" s="44" t="n"/>
      <c r="T95" s="44" t="n"/>
      <c r="U95" s="44" t="n"/>
      <c r="V95" s="21">
        <f>IFERROR(ROUND((IF(Q95="Severe",4,IF(Q95="Moderate",3,IF(Q95="Minor",2,0)))+IF(R95="Severe",4,IF(R95="Moderate",3,IF(R95="Minor",2,0)))+IF(S95="Severe",4,IF(S95="Moderate",3,IF(S95="Minor",2,0)))+IF(T95="Severe",4,IF(T95="Moderate",3,IF(T95="Minor",2,0))))/16*100,0),"")</f>
        <v/>
      </c>
      <c r="W95" s="23" t="n"/>
      <c r="X95" s="44" t="n"/>
      <c r="Y95" s="44" t="n"/>
      <c r="Z95" s="44" t="n"/>
      <c r="AA95" s="22">
        <f>IFERROR(ROUND(IF(H95&gt;=10,30,IF(H95&gt;=5,20,IF(H95&gt;=2,10,0)))+IF(K95="Yes",20,IF(K95="Unsure",10,0))+IF(W95="Yes",30,IF(W95="Later",15,0))+IFERROR(V95/100*20,0)+IF(L95="Interested",15,IF(L95="Open But Busy",10,IF(L95="Neutral",5,0))),0),"")</f>
        <v/>
      </c>
      <c r="AB95" s="23">
        <f>IFERROR(IF(AA95&gt;=80,"🔥 HOT",IF(AA95&gt;=60,"✅ STRONG",IF(AA95&gt;=40,"⚡ WARM",IF(AA95&gt;=20,"📋 NURTURE",IF(AA95&gt;0,"❌ COLD",""))))),"")</f>
        <v/>
      </c>
      <c r="AC95" s="23">
        <f>IFERROR(IF(AND(AA95&gt;=60,OR(W95="Yes",W95="Later")),"🚨 URGENT",IF(AND(AA95&gt;=40,I95="Call Back"),"📞 CALL BACK",IF(I95="Booked Meeting","📅 BOOKED",IF(I95="Not Interested","🚫 DEAD","⏳ WORKING")))),"")</f>
        <v/>
      </c>
      <c r="AD95" s="45" t="n"/>
      <c r="AE95" s="37" t="n"/>
      <c r="AF95" s="25">
        <f>IFERROR(IF(AE95="","",AE95-TODAY()),"")</f>
        <v/>
      </c>
      <c r="AG95" s="44" t="n"/>
    </row>
    <row r="96" ht="19.5" customHeight="1" s="105">
      <c r="A96" s="46" t="inlineStr">
        <is>
          <t>EMCO Heating &amp; Air</t>
        </is>
      </c>
      <c r="B96" s="47" t="inlineStr">
        <is>
          <t>(435) 673-4694</t>
        </is>
      </c>
      <c r="C96" s="47" t="inlineStr">
        <is>
          <t>St. George</t>
        </is>
      </c>
      <c r="D96" s="48" t="inlineStr">
        <is>
          <t>Click Here</t>
        </is>
      </c>
      <c r="E96" s="40" t="n"/>
      <c r="F96" s="40" t="n"/>
      <c r="G96" s="40" t="n"/>
      <c r="H96" s="31" t="n"/>
      <c r="I96" s="40" t="n"/>
      <c r="J96" s="40" t="n"/>
      <c r="K96" s="31" t="n"/>
      <c r="L96" s="40" t="n"/>
      <c r="M96" s="40" t="n"/>
      <c r="N96" s="40" t="n"/>
      <c r="O96" s="40" t="n"/>
      <c r="P96" s="40" t="n"/>
      <c r="Q96" s="40" t="n"/>
      <c r="R96" s="40" t="n"/>
      <c r="S96" s="40" t="n"/>
      <c r="T96" s="40" t="n"/>
      <c r="U96" s="40" t="n"/>
      <c r="V96" s="29">
        <f>IFERROR(ROUND((IF(Q96="Severe",4,IF(Q96="Moderate",3,IF(Q96="Minor",2,0)))+IF(R96="Severe",4,IF(R96="Moderate",3,IF(R96="Minor",2,0)))+IF(S96="Severe",4,IF(S96="Moderate",3,IF(S96="Minor",2,0)))+IF(T96="Severe",4,IF(T96="Moderate",3,IF(T96="Minor",2,0))))/16*100,0),"")</f>
        <v/>
      </c>
      <c r="W96" s="31" t="n"/>
      <c r="X96" s="40" t="n"/>
      <c r="Y96" s="40" t="n"/>
      <c r="Z96" s="40" t="n"/>
      <c r="AA96" s="30">
        <f>IFERROR(ROUND(IF(H96&gt;=10,30,IF(H96&gt;=5,20,IF(H96&gt;=2,10,0)))+IF(K96="Yes",20,IF(K96="Unsure",10,0))+IF(W96="Yes",30,IF(W96="Later",15,0))+IFERROR(V96/100*20,0)+IF(L96="Interested",15,IF(L96="Open But Busy",10,IF(L96="Neutral",5,0))),0),"")</f>
        <v/>
      </c>
      <c r="AB96" s="31">
        <f>IFERROR(IF(AA96&gt;=80,"🔥 HOT",IF(AA96&gt;=60,"✅ STRONG",IF(AA96&gt;=40,"⚡ WARM",IF(AA96&gt;=20,"📋 NURTURE",IF(AA96&gt;0,"❌ COLD",""))))),"")</f>
        <v/>
      </c>
      <c r="AC96" s="31">
        <f>IFERROR(IF(AND(AA96&gt;=60,OR(W96="Yes",W96="Later")),"🚨 URGENT",IF(AND(AA96&gt;=40,I96="Call Back"),"📞 CALL BACK",IF(I96="Booked Meeting","📅 BOOKED",IF(I96="Not Interested","🚫 DEAD","⏳ WORKING")))),"")</f>
        <v/>
      </c>
      <c r="AD96" s="42" t="n"/>
      <c r="AE96" s="38" t="n"/>
      <c r="AF96" s="33">
        <f>IFERROR(IF(AE96="","",AE96-TODAY()),"")</f>
        <v/>
      </c>
      <c r="AG96" s="40" t="n"/>
    </row>
    <row r="97" ht="19.5" customHeight="1" s="105">
      <c r="A97" s="46" t="inlineStr">
        <is>
          <t>S&amp;S Mechanical Plumbing &amp; HVAC</t>
        </is>
      </c>
      <c r="B97" s="47" t="inlineStr">
        <is>
          <t>(435) 673-4211</t>
        </is>
      </c>
      <c r="C97" s="47" t="inlineStr">
        <is>
          <t>St. George</t>
        </is>
      </c>
      <c r="D97" s="48" t="inlineStr">
        <is>
          <t xml:space="preserve"> Click Here</t>
        </is>
      </c>
      <c r="E97" s="44" t="n"/>
      <c r="F97" s="44" t="n"/>
      <c r="G97" s="44" t="n"/>
      <c r="H97" s="23" t="n"/>
      <c r="I97" s="44" t="n"/>
      <c r="J97" s="44" t="n"/>
      <c r="K97" s="23" t="n"/>
      <c r="L97" s="44" t="n"/>
      <c r="M97" s="44" t="n"/>
      <c r="N97" s="44" t="n"/>
      <c r="O97" s="44" t="n"/>
      <c r="P97" s="44" t="n"/>
      <c r="Q97" s="44" t="n"/>
      <c r="R97" s="44" t="n"/>
      <c r="S97" s="44" t="n"/>
      <c r="T97" s="44" t="n"/>
      <c r="U97" s="44" t="n"/>
      <c r="V97" s="21">
        <f>IFERROR(ROUND((IF(Q97="Severe",4,IF(Q97="Moderate",3,IF(Q97="Minor",2,0)))+IF(R97="Severe",4,IF(R97="Moderate",3,IF(R97="Minor",2,0)))+IF(S97="Severe",4,IF(S97="Moderate",3,IF(S97="Minor",2,0)))+IF(T97="Severe",4,IF(T97="Moderate",3,IF(T97="Minor",2,0))))/16*100,0),"")</f>
        <v/>
      </c>
      <c r="W97" s="23" t="n"/>
      <c r="X97" s="44" t="n"/>
      <c r="Y97" s="44" t="n"/>
      <c r="Z97" s="44" t="n"/>
      <c r="AA97" s="22">
        <f>IFERROR(ROUND(IF(H97&gt;=10,30,IF(H97&gt;=5,20,IF(H97&gt;=2,10,0)))+IF(K97="Yes",20,IF(K97="Unsure",10,0))+IF(W97="Yes",30,IF(W97="Later",15,0))+IFERROR(V97/100*20,0)+IF(L97="Interested",15,IF(L97="Open But Busy",10,IF(L97="Neutral",5,0))),0),"")</f>
        <v/>
      </c>
      <c r="AB97" s="23">
        <f>IFERROR(IF(AA97&gt;=80,"🔥 HOT",IF(AA97&gt;=60,"✅ STRONG",IF(AA97&gt;=40,"⚡ WARM",IF(AA97&gt;=20,"📋 NURTURE",IF(AA97&gt;0,"❌ COLD",""))))),"")</f>
        <v/>
      </c>
      <c r="AC97" s="23">
        <f>IFERROR(IF(AND(AA97&gt;=60,OR(W97="Yes",W97="Later")),"🚨 URGENT",IF(AND(AA97&gt;=40,I97="Call Back"),"📞 CALL BACK",IF(I97="Booked Meeting","📅 BOOKED",IF(I97="Not Interested","🚫 DEAD","⏳ WORKING")))),"")</f>
        <v/>
      </c>
      <c r="AD97" s="45" t="n"/>
      <c r="AE97" s="37" t="n"/>
      <c r="AF97" s="25">
        <f>IFERROR(IF(AE97="","",AE97-TODAY()),"")</f>
        <v/>
      </c>
      <c r="AG97" s="44" t="n"/>
    </row>
    <row r="98" ht="19.5" customHeight="1" s="105">
      <c r="A98" s="46" t="inlineStr">
        <is>
          <t>Comfort Systems USA Southern Utah</t>
        </is>
      </c>
      <c r="B98" s="47" t="inlineStr">
        <is>
          <t>(435) 673-4477</t>
        </is>
      </c>
      <c r="C98" s="47" t="inlineStr">
        <is>
          <t>St. George</t>
        </is>
      </c>
      <c r="D98" s="48" t="inlineStr">
        <is>
          <t>Click Here</t>
        </is>
      </c>
      <c r="E98" s="40" t="n"/>
      <c r="F98" s="40" t="n"/>
      <c r="G98" s="40" t="n"/>
      <c r="H98" s="31" t="n"/>
      <c r="I98" s="40" t="n"/>
      <c r="J98" s="40" t="n"/>
      <c r="K98" s="31" t="n"/>
      <c r="L98" s="40" t="n"/>
      <c r="M98" s="40" t="n"/>
      <c r="N98" s="40" t="n"/>
      <c r="O98" s="40" t="n"/>
      <c r="P98" s="40" t="n"/>
      <c r="Q98" s="40" t="n"/>
      <c r="R98" s="40" t="n"/>
      <c r="S98" s="40" t="n"/>
      <c r="T98" s="40" t="n"/>
      <c r="U98" s="40" t="n"/>
      <c r="V98" s="29">
        <f>IFERROR(ROUND((IF(Q98="Severe",4,IF(Q98="Moderate",3,IF(Q98="Minor",2,0)))+IF(R98="Severe",4,IF(R98="Moderate",3,IF(R98="Minor",2,0)))+IF(S98="Severe",4,IF(S98="Moderate",3,IF(S98="Minor",2,0)))+IF(T98="Severe",4,IF(T98="Moderate",3,IF(T98="Minor",2,0))))/16*100,0),"")</f>
        <v/>
      </c>
      <c r="W98" s="31" t="n"/>
      <c r="X98" s="40" t="n"/>
      <c r="Y98" s="40" t="n"/>
      <c r="Z98" s="40" t="n"/>
      <c r="AA98" s="30">
        <f>IFERROR(ROUND(IF(H98&gt;=10,30,IF(H98&gt;=5,20,IF(H98&gt;=2,10,0)))+IF(K98="Yes",20,IF(K98="Unsure",10,0))+IF(W98="Yes",30,IF(W98="Later",15,0))+IFERROR(V98/100*20,0)+IF(L98="Interested",15,IF(L98="Open But Busy",10,IF(L98="Neutral",5,0))),0),"")</f>
        <v/>
      </c>
      <c r="AB98" s="31">
        <f>IFERROR(IF(AA98&gt;=80,"🔥 HOT",IF(AA98&gt;=60,"✅ STRONG",IF(AA98&gt;=40,"⚡ WARM",IF(AA98&gt;=20,"📋 NURTURE",IF(AA98&gt;0,"❌ COLD",""))))),"")</f>
        <v/>
      </c>
      <c r="AC98" s="31">
        <f>IFERROR(IF(AND(AA98&gt;=60,OR(W98="Yes",W98="Later")),"🚨 URGENT",IF(AND(AA98&gt;=40,I98="Call Back"),"📞 CALL BACK",IF(I98="Booked Meeting","📅 BOOKED",IF(I98="Not Interested","🚫 DEAD","⏳ WORKING")))),"")</f>
        <v/>
      </c>
      <c r="AD98" s="42" t="n"/>
      <c r="AE98" s="38" t="n"/>
      <c r="AF98" s="33">
        <f>IFERROR(IF(AE98="","",AE98-TODAY()),"")</f>
        <v/>
      </c>
      <c r="AG98" s="40" t="n"/>
    </row>
    <row r="99" ht="19.5" customHeight="1" s="105">
      <c r="A99" s="46" t="inlineStr">
        <is>
          <t>Patriot HVAC</t>
        </is>
      </c>
      <c r="B99" s="47" t="inlineStr">
        <is>
          <t>(435) 288-0408</t>
        </is>
      </c>
      <c r="C99" s="47" t="inlineStr">
        <is>
          <t>St. George</t>
        </is>
      </c>
      <c r="D99" s="48" t="inlineStr">
        <is>
          <t>Click Here</t>
        </is>
      </c>
      <c r="E99" s="44" t="n"/>
      <c r="F99" s="44" t="n"/>
      <c r="G99" s="44" t="n"/>
      <c r="H99" s="23" t="n"/>
      <c r="I99" s="44" t="n"/>
      <c r="J99" s="44" t="n"/>
      <c r="K99" s="23" t="n"/>
      <c r="L99" s="44" t="n"/>
      <c r="M99" s="44" t="n"/>
      <c r="N99" s="44" t="n"/>
      <c r="O99" s="44" t="n"/>
      <c r="P99" s="44" t="n"/>
      <c r="Q99" s="44" t="n"/>
      <c r="R99" s="44" t="n"/>
      <c r="S99" s="44" t="n"/>
      <c r="T99" s="44" t="n"/>
      <c r="U99" s="44" t="n"/>
      <c r="V99" s="21">
        <f>IFERROR(ROUND((IF(Q99="Severe",4,IF(Q99="Moderate",3,IF(Q99="Minor",2,0)))+IF(R99="Severe",4,IF(R99="Moderate",3,IF(R99="Minor",2,0)))+IF(S99="Severe",4,IF(S99="Moderate",3,IF(S99="Minor",2,0)))+IF(T99="Severe",4,IF(T99="Moderate",3,IF(T99="Minor",2,0))))/16*100,0),"")</f>
        <v/>
      </c>
      <c r="W99" s="23" t="n"/>
      <c r="X99" s="44" t="n"/>
      <c r="Y99" s="44" t="n"/>
      <c r="Z99" s="44" t="n"/>
      <c r="AA99" s="22">
        <f>IFERROR(ROUND(IF(H99&gt;=10,30,IF(H99&gt;=5,20,IF(H99&gt;=2,10,0)))+IF(K99="Yes",20,IF(K99="Unsure",10,0))+IF(W99="Yes",30,IF(W99="Later",15,0))+IFERROR(V99/100*20,0)+IF(L99="Interested",15,IF(L99="Open But Busy",10,IF(L99="Neutral",5,0))),0),"")</f>
        <v/>
      </c>
      <c r="AB99" s="23">
        <f>IFERROR(IF(AA99&gt;=80,"🔥 HOT",IF(AA99&gt;=60,"✅ STRONG",IF(AA99&gt;=40,"⚡ WARM",IF(AA99&gt;=20,"📋 NURTURE",IF(AA99&gt;0,"❌ COLD",""))))),"")</f>
        <v/>
      </c>
      <c r="AC99" s="23">
        <f>IFERROR(IF(AND(AA99&gt;=60,OR(W99="Yes",W99="Later")),"🚨 URGENT",IF(AND(AA99&gt;=40,I99="Call Back"),"📞 CALL BACK",IF(I99="Booked Meeting","📅 BOOKED",IF(I99="Not Interested","🚫 DEAD","⏳ WORKING")))),"")</f>
        <v/>
      </c>
      <c r="AD99" s="45" t="n"/>
      <c r="AE99" s="37" t="n"/>
      <c r="AF99" s="25">
        <f>IFERROR(IF(AE99="","",AE99-TODAY()),"")</f>
        <v/>
      </c>
      <c r="AG99" s="44" t="n"/>
    </row>
    <row r="100" ht="19.5" customHeight="1" s="105">
      <c r="A100" s="46" t="inlineStr">
        <is>
          <t>Heatwave Solutions</t>
        </is>
      </c>
      <c r="B100" s="47" t="inlineStr">
        <is>
          <t>(435) 351-9585</t>
        </is>
      </c>
      <c r="C100" s="47" t="inlineStr">
        <is>
          <t>St. George</t>
        </is>
      </c>
      <c r="D100" s="48" t="inlineStr">
        <is>
          <t>Click Here</t>
        </is>
      </c>
      <c r="E100" s="40" t="n"/>
      <c r="F100" s="40" t="n"/>
      <c r="G100" s="40" t="n"/>
      <c r="H100" s="31" t="n"/>
      <c r="I100" s="40" t="n"/>
      <c r="J100" s="40" t="n"/>
      <c r="K100" s="31" t="n"/>
      <c r="L100" s="40" t="n"/>
      <c r="M100" s="40" t="n"/>
      <c r="N100" s="40" t="n"/>
      <c r="O100" s="40" t="n"/>
      <c r="P100" s="40" t="n"/>
      <c r="Q100" s="40" t="n"/>
      <c r="R100" s="40" t="n"/>
      <c r="S100" s="40" t="n"/>
      <c r="T100" s="40" t="n"/>
      <c r="U100" s="40" t="n"/>
      <c r="V100" s="29">
        <f>IFERROR(ROUND((IF(Q100="Severe",4,IF(Q100="Moderate",3,IF(Q100="Minor",2,0)))+IF(R100="Severe",4,IF(R100="Moderate",3,IF(R100="Minor",2,0)))+IF(S100="Severe",4,IF(S100="Moderate",3,IF(S100="Minor",2,0)))+IF(T100="Severe",4,IF(T100="Moderate",3,IF(T100="Minor",2,0))))/16*100,0),"")</f>
        <v/>
      </c>
      <c r="W100" s="31" t="n"/>
      <c r="X100" s="40" t="n"/>
      <c r="Y100" s="40" t="n"/>
      <c r="Z100" s="40" t="n"/>
      <c r="AA100" s="30">
        <f>IFERROR(ROUND(IF(H100&gt;=10,30,IF(H100&gt;=5,20,IF(H100&gt;=2,10,0)))+IF(K100="Yes",20,IF(K100="Unsure",10,0))+IF(W100="Yes",30,IF(W100="Later",15,0))+IFERROR(V100/100*20,0)+IF(L100="Interested",15,IF(L100="Open But Busy",10,IF(L100="Neutral",5,0))),0),"")</f>
        <v/>
      </c>
      <c r="AB100" s="31">
        <f>IFERROR(IF(AA100&gt;=80,"🔥 HOT",IF(AA100&gt;=60,"✅ STRONG",IF(AA100&gt;=40,"⚡ WARM",IF(AA100&gt;=20,"📋 NURTURE",IF(AA100&gt;0,"❌ COLD",""))))),"")</f>
        <v/>
      </c>
      <c r="AC100" s="31">
        <f>IFERROR(IF(AND(AA100&gt;=60,OR(W100="Yes",W100="Later")),"🚨 URGENT",IF(AND(AA100&gt;=40,I100="Call Back"),"📞 CALL BACK",IF(I100="Booked Meeting","📅 BOOKED",IF(I100="Not Interested","🚫 DEAD","⏳ WORKING")))),"")</f>
        <v/>
      </c>
      <c r="AD100" s="42" t="n"/>
      <c r="AE100" s="38" t="n"/>
      <c r="AF100" s="33">
        <f>IFERROR(IF(AE100="","",AE100-TODAY()),"")</f>
        <v/>
      </c>
      <c r="AG100" s="40" t="n"/>
    </row>
    <row r="101" ht="19.5" customHeight="1" s="105">
      <c r="A101" s="46" t="inlineStr">
        <is>
          <t>Carmack HVAC</t>
        </is>
      </c>
      <c r="B101" s="47" t="inlineStr">
        <is>
          <t>(435) 275-5905</t>
        </is>
      </c>
      <c r="C101" s="47" t="inlineStr">
        <is>
          <t>Washington</t>
        </is>
      </c>
      <c r="D101" s="48" t="inlineStr">
        <is>
          <t>Click Here</t>
        </is>
      </c>
      <c r="E101" s="44" t="n"/>
      <c r="F101" s="44" t="n"/>
      <c r="G101" s="44" t="n"/>
      <c r="H101" s="23" t="n"/>
      <c r="I101" s="44" t="n"/>
      <c r="J101" s="44" t="n"/>
      <c r="K101" s="23" t="n"/>
      <c r="L101" s="44" t="n"/>
      <c r="M101" s="44" t="n"/>
      <c r="N101" s="44" t="n"/>
      <c r="O101" s="44" t="n"/>
      <c r="P101" s="44" t="n"/>
      <c r="Q101" s="44" t="n"/>
      <c r="R101" s="44" t="n"/>
      <c r="S101" s="44" t="n"/>
      <c r="T101" s="44" t="n"/>
      <c r="U101" s="44" t="n"/>
      <c r="V101" s="21">
        <f>IFERROR(ROUND((IF(Q101="Severe",4,IF(Q101="Moderate",3,IF(Q101="Minor",2,0)))+IF(R101="Severe",4,IF(R101="Moderate",3,IF(R101="Minor",2,0)))+IF(S101="Severe",4,IF(S101="Moderate",3,IF(S101="Minor",2,0)))+IF(T101="Severe",4,IF(T101="Moderate",3,IF(T101="Minor",2,0))))/16*100,0),"")</f>
        <v/>
      </c>
      <c r="W101" s="23" t="n"/>
      <c r="X101" s="44" t="n"/>
      <c r="Y101" s="44" t="n"/>
      <c r="Z101" s="44" t="n"/>
      <c r="AA101" s="22">
        <f>IFERROR(ROUND(IF(H101&gt;=10,30,IF(H101&gt;=5,20,IF(H101&gt;=2,10,0)))+IF(K101="Yes",20,IF(K101="Unsure",10,0))+IF(W101="Yes",30,IF(W101="Later",15,0))+IFERROR(V101/100*20,0)+IF(L101="Interested",15,IF(L101="Open But Busy",10,IF(L101="Neutral",5,0))),0),"")</f>
        <v/>
      </c>
      <c r="AB101" s="23">
        <f>IFERROR(IF(AA101&gt;=80,"🔥 HOT",IF(AA101&gt;=60,"✅ STRONG",IF(AA101&gt;=40,"⚡ WARM",IF(AA101&gt;=20,"📋 NURTURE",IF(AA101&gt;0,"❌ COLD",""))))),"")</f>
        <v/>
      </c>
      <c r="AC101" s="23">
        <f>IFERROR(IF(AND(AA101&gt;=60,OR(W101="Yes",W101="Later")),"🚨 URGENT",IF(AND(AA101&gt;=40,I101="Call Back"),"📞 CALL BACK",IF(I101="Booked Meeting","📅 BOOKED",IF(I101="Not Interested","🚫 DEAD","⏳ WORKING")))),"")</f>
        <v/>
      </c>
      <c r="AD101" s="45" t="n"/>
      <c r="AE101" s="37" t="n"/>
      <c r="AF101" s="25">
        <f>IFERROR(IF(AE101="","",AE101-TODAY()),"")</f>
        <v/>
      </c>
      <c r="AG101" s="44" t="n"/>
    </row>
    <row r="102" ht="19.5" customHeight="1" s="105">
      <c r="A102" s="46" t="inlineStr">
        <is>
          <t>Quality Air Service</t>
        </is>
      </c>
      <c r="B102" s="47" t="inlineStr">
        <is>
          <t>(435) 628-6500</t>
        </is>
      </c>
      <c r="C102" s="47" t="inlineStr">
        <is>
          <t>St. George</t>
        </is>
      </c>
      <c r="D102" s="48" t="inlineStr">
        <is>
          <t>Click Here</t>
        </is>
      </c>
      <c r="E102" s="40" t="n"/>
      <c r="F102" s="40" t="n"/>
      <c r="G102" s="40" t="n"/>
      <c r="H102" s="31" t="n"/>
      <c r="I102" s="40" t="n"/>
      <c r="J102" s="40" t="n"/>
      <c r="K102" s="31" t="n"/>
      <c r="L102" s="40" t="n"/>
      <c r="M102" s="40" t="n"/>
      <c r="N102" s="40" t="n"/>
      <c r="O102" s="40" t="n"/>
      <c r="P102" s="40" t="n"/>
      <c r="Q102" s="40" t="n"/>
      <c r="R102" s="40" t="n"/>
      <c r="S102" s="40" t="n"/>
      <c r="T102" s="40" t="n"/>
      <c r="U102" s="40" t="n"/>
      <c r="V102" s="29">
        <f>IFERROR(ROUND((IF(Q102="Severe",4,IF(Q102="Moderate",3,IF(Q102="Minor",2,0)))+IF(R102="Severe",4,IF(R102="Moderate",3,IF(R102="Minor",2,0)))+IF(S102="Severe",4,IF(S102="Moderate",3,IF(S102="Minor",2,0)))+IF(T102="Severe",4,IF(T102="Moderate",3,IF(T102="Minor",2,0))))/16*100,0),"")</f>
        <v/>
      </c>
      <c r="W102" s="31" t="n"/>
      <c r="X102" s="40" t="n"/>
      <c r="Y102" s="40" t="n"/>
      <c r="Z102" s="40" t="n"/>
      <c r="AA102" s="30">
        <f>IFERROR(ROUND(IF(H102&gt;=10,30,IF(H102&gt;=5,20,IF(H102&gt;=2,10,0)))+IF(K102="Yes",20,IF(K102="Unsure",10,0))+IF(W102="Yes",30,IF(W102="Later",15,0))+IFERROR(V102/100*20,0)+IF(L102="Interested",15,IF(L102="Open But Busy",10,IF(L102="Neutral",5,0))),0),"")</f>
        <v/>
      </c>
      <c r="AB102" s="31">
        <f>IFERROR(IF(AA102&gt;=80,"🔥 HOT",IF(AA102&gt;=60,"✅ STRONG",IF(AA102&gt;=40,"⚡ WARM",IF(AA102&gt;=20,"📋 NURTURE",IF(AA102&gt;0,"❌ COLD",""))))),"")</f>
        <v/>
      </c>
      <c r="AC102" s="31">
        <f>IFERROR(IF(AND(AA102&gt;=60,OR(W102="Yes",W102="Later")),"🚨 URGENT",IF(AND(AA102&gt;=40,I102="Call Back"),"📞 CALL BACK",IF(I102="Booked Meeting","📅 BOOKED",IF(I102="Not Interested","🚫 DEAD","⏳ WORKING")))),"")</f>
        <v/>
      </c>
      <c r="AD102" s="42" t="n"/>
      <c r="AE102" s="38" t="n"/>
      <c r="AF102" s="33">
        <f>IFERROR(IF(AE102="","",AE102-TODAY()),"")</f>
        <v/>
      </c>
      <c r="AG102" s="40" t="n"/>
    </row>
    <row r="103" ht="19.5" customHeight="1" s="105">
      <c r="A103" s="46" t="inlineStr">
        <is>
          <t>Southern Utah HVAC Solutions</t>
        </is>
      </c>
      <c r="B103" s="47" t="inlineStr">
        <is>
          <t>(435) 525-3337</t>
        </is>
      </c>
      <c r="C103" s="47" t="inlineStr">
        <is>
          <t>Washington</t>
        </is>
      </c>
      <c r="D103" s="48" t="inlineStr">
        <is>
          <t>Click Here</t>
        </is>
      </c>
      <c r="E103" s="44" t="n"/>
      <c r="F103" s="44" t="n"/>
      <c r="G103" s="44" t="n"/>
      <c r="H103" s="23" t="n"/>
      <c r="I103" s="44" t="n"/>
      <c r="J103" s="44" t="n"/>
      <c r="K103" s="23" t="n"/>
      <c r="L103" s="44" t="n"/>
      <c r="M103" s="44" t="n"/>
      <c r="N103" s="44" t="n"/>
      <c r="O103" s="44" t="n"/>
      <c r="P103" s="44" t="n"/>
      <c r="Q103" s="44" t="n"/>
      <c r="R103" s="44" t="n"/>
      <c r="S103" s="44" t="n"/>
      <c r="T103" s="44" t="n"/>
      <c r="U103" s="44" t="n"/>
      <c r="V103" s="21">
        <f>IFERROR(ROUND((IF(Q103="Severe",4,IF(Q103="Moderate",3,IF(Q103="Minor",2,0)))+IF(R103="Severe",4,IF(R103="Moderate",3,IF(R103="Minor",2,0)))+IF(S103="Severe",4,IF(S103="Moderate",3,IF(S103="Minor",2,0)))+IF(T103="Severe",4,IF(T103="Moderate",3,IF(T103="Minor",2,0))))/16*100,0),"")</f>
        <v/>
      </c>
      <c r="W103" s="23" t="n"/>
      <c r="X103" s="44" t="n"/>
      <c r="Y103" s="44" t="n"/>
      <c r="Z103" s="44" t="n"/>
      <c r="AA103" s="22">
        <f>IFERROR(ROUND(IF(H103&gt;=10,30,IF(H103&gt;=5,20,IF(H103&gt;=2,10,0)))+IF(K103="Yes",20,IF(K103="Unsure",10,0))+IF(W103="Yes",30,IF(W103="Later",15,0))+IFERROR(V103/100*20,0)+IF(L103="Interested",15,IF(L103="Open But Busy",10,IF(L103="Neutral",5,0))),0),"")</f>
        <v/>
      </c>
      <c r="AB103" s="23">
        <f>IFERROR(IF(AA103&gt;=80,"🔥 HOT",IF(AA103&gt;=60,"✅ STRONG",IF(AA103&gt;=40,"⚡ WARM",IF(AA103&gt;=20,"📋 NURTURE",IF(AA103&gt;0,"❌ COLD",""))))),"")</f>
        <v/>
      </c>
      <c r="AC103" s="23">
        <f>IFERROR(IF(AND(AA103&gt;=60,OR(W103="Yes",W103="Later")),"🚨 URGENT",IF(AND(AA103&gt;=40,I103="Call Back"),"📞 CALL BACK",IF(I103="Booked Meeting","📅 BOOKED",IF(I103="Not Interested","🚫 DEAD","⏳ WORKING")))),"")</f>
        <v/>
      </c>
      <c r="AD103" s="45" t="n"/>
      <c r="AE103" s="37" t="n"/>
      <c r="AF103" s="25">
        <f>IFERROR(IF(AE103="","",AE103-TODAY()),"")</f>
        <v/>
      </c>
      <c r="AG103" s="44" t="n"/>
    </row>
    <row r="104" ht="19.5" customHeight="1" s="105">
      <c r="A104" s="46" t="inlineStr">
        <is>
          <t>L&amp;L Mechanical</t>
        </is>
      </c>
      <c r="B104" s="47" t="inlineStr">
        <is>
          <t>(435) 673-4694</t>
        </is>
      </c>
      <c r="C104" s="47" t="inlineStr">
        <is>
          <t>St. George</t>
        </is>
      </c>
      <c r="D104" s="49" t="inlineStr">
        <is>
          <t>N/A</t>
        </is>
      </c>
      <c r="E104" s="40" t="n"/>
      <c r="F104" s="40" t="n"/>
      <c r="G104" s="40" t="n"/>
      <c r="H104" s="31" t="n"/>
      <c r="I104" s="40" t="n"/>
      <c r="J104" s="40" t="n"/>
      <c r="K104" s="31" t="n"/>
      <c r="L104" s="40" t="n"/>
      <c r="M104" s="40" t="n"/>
      <c r="N104" s="40" t="n"/>
      <c r="O104" s="40" t="n"/>
      <c r="P104" s="40" t="n"/>
      <c r="Q104" s="40" t="n"/>
      <c r="R104" s="40" t="n"/>
      <c r="S104" s="40" t="n"/>
      <c r="T104" s="40" t="n"/>
      <c r="U104" s="40" t="n"/>
      <c r="V104" s="29">
        <f>IFERROR(ROUND((IF(Q104="Severe",4,IF(Q104="Moderate",3,IF(Q104="Minor",2,0)))+IF(R104="Severe",4,IF(R104="Moderate",3,IF(R104="Minor",2,0)))+IF(S104="Severe",4,IF(S104="Moderate",3,IF(S104="Minor",2,0)))+IF(T104="Severe",4,IF(T104="Moderate",3,IF(T104="Minor",2,0))))/16*100,0),"")</f>
        <v/>
      </c>
      <c r="W104" s="31" t="n"/>
      <c r="X104" s="40" t="n"/>
      <c r="Y104" s="40" t="n"/>
      <c r="Z104" s="40" t="n"/>
      <c r="AA104" s="30">
        <f>IFERROR(ROUND(IF(H104&gt;=10,30,IF(H104&gt;=5,20,IF(H104&gt;=2,10,0)))+IF(K104="Yes",20,IF(K104="Unsure",10,0))+IF(W104="Yes",30,IF(W104="Later",15,0))+IFERROR(V104/100*20,0)+IF(L104="Interested",15,IF(L104="Open But Busy",10,IF(L104="Neutral",5,0))),0),"")</f>
        <v/>
      </c>
      <c r="AB104" s="31">
        <f>IFERROR(IF(AA104&gt;=80,"🔥 HOT",IF(AA104&gt;=60,"✅ STRONG",IF(AA104&gt;=40,"⚡ WARM",IF(AA104&gt;=20,"📋 NURTURE",IF(AA104&gt;0,"❌ COLD",""))))),"")</f>
        <v/>
      </c>
      <c r="AC104" s="31">
        <f>IFERROR(IF(AND(AA104&gt;=60,OR(W104="Yes",W104="Later")),"🚨 URGENT",IF(AND(AA104&gt;=40,I104="Call Back"),"📞 CALL BACK",IF(I104="Booked Meeting","📅 BOOKED",IF(I104="Not Interested","🚫 DEAD","⏳ WORKING")))),"")</f>
        <v/>
      </c>
      <c r="AD104" s="42" t="n"/>
      <c r="AE104" s="38" t="n"/>
      <c r="AF104" s="33">
        <f>IFERROR(IF(AE104="","",AE104-TODAY()),"")</f>
        <v/>
      </c>
      <c r="AG104" s="40" t="n"/>
    </row>
    <row r="105" ht="19.5" customHeight="1" s="105">
      <c r="A105" s="46" t="inlineStr">
        <is>
          <t>Davis Heating &amp; Air</t>
        </is>
      </c>
      <c r="B105" s="47" t="inlineStr">
        <is>
          <t>(435) 586-1271</t>
        </is>
      </c>
      <c r="C105" s="47" t="inlineStr">
        <is>
          <t>Cedar City</t>
        </is>
      </c>
      <c r="D105" s="48" t="inlineStr">
        <is>
          <t>Click Here</t>
        </is>
      </c>
      <c r="E105" s="44" t="n"/>
      <c r="F105" s="44" t="n"/>
      <c r="G105" s="44" t="n"/>
      <c r="H105" s="23" t="n"/>
      <c r="I105" s="44" t="n"/>
      <c r="J105" s="44" t="n"/>
      <c r="K105" s="23" t="n"/>
      <c r="L105" s="44" t="n"/>
      <c r="M105" s="44" t="n"/>
      <c r="N105" s="44" t="n"/>
      <c r="O105" s="44" t="n"/>
      <c r="P105" s="44" t="n"/>
      <c r="Q105" s="44" t="n"/>
      <c r="R105" s="44" t="n"/>
      <c r="S105" s="44" t="n"/>
      <c r="T105" s="44" t="n"/>
      <c r="U105" s="44" t="n"/>
      <c r="V105" s="21">
        <f>IFERROR(ROUND((IF(Q105="Severe",4,IF(Q105="Moderate",3,IF(Q105="Minor",2,0)))+IF(R105="Severe",4,IF(R105="Moderate",3,IF(R105="Minor",2,0)))+IF(S105="Severe",4,IF(S105="Moderate",3,IF(S105="Minor",2,0)))+IF(T105="Severe",4,IF(T105="Moderate",3,IF(T105="Minor",2,0))))/16*100,0),"")</f>
        <v/>
      </c>
      <c r="W105" s="23" t="n"/>
      <c r="X105" s="44" t="n"/>
      <c r="Y105" s="44" t="n"/>
      <c r="Z105" s="44" t="n"/>
      <c r="AA105" s="22">
        <f>IFERROR(ROUND(IF(H105&gt;=10,30,IF(H105&gt;=5,20,IF(H105&gt;=2,10,0)))+IF(K105="Yes",20,IF(K105="Unsure",10,0))+IF(W105="Yes",30,IF(W105="Later",15,0))+IFERROR(V105/100*20,0)+IF(L105="Interested",15,IF(L105="Open But Busy",10,IF(L105="Neutral",5,0))),0),"")</f>
        <v/>
      </c>
      <c r="AB105" s="23">
        <f>IFERROR(IF(AA105&gt;=80,"🔥 HOT",IF(AA105&gt;=60,"✅ STRONG",IF(AA105&gt;=40,"⚡ WARM",IF(AA105&gt;=20,"📋 NURTURE",IF(AA105&gt;0,"❌ COLD",""))))),"")</f>
        <v/>
      </c>
      <c r="AC105" s="23">
        <f>IFERROR(IF(AND(AA105&gt;=60,OR(W105="Yes",W105="Later")),"🚨 URGENT",IF(AND(AA105&gt;=40,I105="Call Back"),"📞 CALL BACK",IF(I105="Booked Meeting","📅 BOOKED",IF(I105="Not Interested","🚫 DEAD","⏳ WORKING")))),"")</f>
        <v/>
      </c>
      <c r="AD105" s="45" t="n"/>
      <c r="AE105" s="37" t="n"/>
      <c r="AF105" s="25">
        <f>IFERROR(IF(AE105="","",AE105-TODAY()),"")</f>
        <v/>
      </c>
      <c r="AG105" s="44" t="n"/>
    </row>
    <row r="106" ht="19.5" customHeight="1" s="105">
      <c r="A106" s="46" t="inlineStr">
        <is>
          <t>Swift Heating &amp; A/C</t>
        </is>
      </c>
      <c r="B106" s="47" t="inlineStr">
        <is>
          <t>(435) 586-4822</t>
        </is>
      </c>
      <c r="C106" s="47" t="inlineStr">
        <is>
          <t>Cedar City</t>
        </is>
      </c>
      <c r="D106" s="48" t="inlineStr">
        <is>
          <t>Click Here</t>
        </is>
      </c>
      <c r="E106" s="40" t="n"/>
      <c r="F106" s="40" t="n"/>
      <c r="G106" s="40" t="n"/>
      <c r="H106" s="31" t="n"/>
      <c r="I106" s="40" t="n"/>
      <c r="J106" s="40" t="n"/>
      <c r="K106" s="31" t="n"/>
      <c r="L106" s="40" t="n"/>
      <c r="M106" s="40" t="n"/>
      <c r="N106" s="40" t="n"/>
      <c r="O106" s="40" t="n"/>
      <c r="P106" s="40" t="n"/>
      <c r="Q106" s="40" t="n"/>
      <c r="R106" s="40" t="n"/>
      <c r="S106" s="40" t="n"/>
      <c r="T106" s="40" t="n"/>
      <c r="U106" s="40" t="n"/>
      <c r="V106" s="29">
        <f>IFERROR(ROUND((IF(Q106="Severe",4,IF(Q106="Moderate",3,IF(Q106="Minor",2,0)))+IF(R106="Severe",4,IF(R106="Moderate",3,IF(R106="Minor",2,0)))+IF(S106="Severe",4,IF(S106="Moderate",3,IF(S106="Minor",2,0)))+IF(T106="Severe",4,IF(T106="Moderate",3,IF(T106="Minor",2,0))))/16*100,0),"")</f>
        <v/>
      </c>
      <c r="W106" s="31" t="n"/>
      <c r="X106" s="40" t="n"/>
      <c r="Y106" s="40" t="n"/>
      <c r="Z106" s="40" t="n"/>
      <c r="AA106" s="30">
        <f>IFERROR(ROUND(IF(H106&gt;=10,30,IF(H106&gt;=5,20,IF(H106&gt;=2,10,0)))+IF(K106="Yes",20,IF(K106="Unsure",10,0))+IF(W106="Yes",30,IF(W106="Later",15,0))+IFERROR(V106/100*20,0)+IF(L106="Interested",15,IF(L106="Open But Busy",10,IF(L106="Neutral",5,0))),0),"")</f>
        <v/>
      </c>
      <c r="AB106" s="31">
        <f>IFERROR(IF(AA106&gt;=80,"🔥 HOT",IF(AA106&gt;=60,"✅ STRONG",IF(AA106&gt;=40,"⚡ WARM",IF(AA106&gt;=20,"📋 NURTURE",IF(AA106&gt;0,"❌ COLD",""))))),"")</f>
        <v/>
      </c>
      <c r="AC106" s="31">
        <f>IFERROR(IF(AND(AA106&gt;=60,OR(W106="Yes",W106="Later")),"🚨 URGENT",IF(AND(AA106&gt;=40,I106="Call Back"),"📞 CALL BACK",IF(I106="Booked Meeting","📅 BOOKED",IF(I106="Not Interested","🚫 DEAD","⏳ WORKING")))),"")</f>
        <v/>
      </c>
      <c r="AD106" s="42" t="n"/>
      <c r="AE106" s="38" t="n"/>
      <c r="AF106" s="33">
        <f>IFERROR(IF(AE106="","",AE106-TODAY()),"")</f>
        <v/>
      </c>
      <c r="AG106" s="40" t="n"/>
    </row>
    <row r="107" ht="19.5" customHeight="1" s="105">
      <c r="A107" s="46" t="inlineStr">
        <is>
          <t>Iron Heating and Air</t>
        </is>
      </c>
      <c r="B107" s="47" t="inlineStr">
        <is>
          <t>(435) 867-1234</t>
        </is>
      </c>
      <c r="C107" s="47" t="inlineStr">
        <is>
          <t>Cedar City</t>
        </is>
      </c>
      <c r="D107" s="48" t="inlineStr">
        <is>
          <t>Click Here</t>
        </is>
      </c>
      <c r="E107" s="44" t="n"/>
      <c r="F107" s="44" t="n"/>
      <c r="G107" s="44" t="n"/>
      <c r="H107" s="23" t="n"/>
      <c r="I107" s="44" t="n"/>
      <c r="J107" s="44" t="n"/>
      <c r="K107" s="23" t="n"/>
      <c r="L107" s="44" t="n"/>
      <c r="M107" s="44" t="n"/>
      <c r="N107" s="44" t="n"/>
      <c r="O107" s="44" t="n"/>
      <c r="P107" s="44" t="n"/>
      <c r="Q107" s="44" t="n"/>
      <c r="R107" s="44" t="n"/>
      <c r="S107" s="44" t="n"/>
      <c r="T107" s="44" t="n"/>
      <c r="U107" s="44" t="n"/>
      <c r="V107" s="21">
        <f>IFERROR(ROUND((IF(Q107="Severe",4,IF(Q107="Moderate",3,IF(Q107="Minor",2,0)))+IF(R107="Severe",4,IF(R107="Moderate",3,IF(R107="Minor",2,0)))+IF(S107="Severe",4,IF(S107="Moderate",3,IF(S107="Minor",2,0)))+IF(T107="Severe",4,IF(T107="Moderate",3,IF(T107="Minor",2,0))))/16*100,0),"")</f>
        <v/>
      </c>
      <c r="W107" s="23" t="n"/>
      <c r="X107" s="44" t="n"/>
      <c r="Y107" s="44" t="n"/>
      <c r="Z107" s="44" t="n"/>
      <c r="AA107" s="22">
        <f>IFERROR(ROUND(IF(H107&gt;=10,30,IF(H107&gt;=5,20,IF(H107&gt;=2,10,0)))+IF(K107="Yes",20,IF(K107="Unsure",10,0))+IF(W107="Yes",30,IF(W107="Later",15,0))+IFERROR(V107/100*20,0)+IF(L107="Interested",15,IF(L107="Open But Busy",10,IF(L107="Neutral",5,0))),0),"")</f>
        <v/>
      </c>
      <c r="AB107" s="23">
        <f>IFERROR(IF(AA107&gt;=80,"🔥 HOT",IF(AA107&gt;=60,"✅ STRONG",IF(AA107&gt;=40,"⚡ WARM",IF(AA107&gt;=20,"📋 NURTURE",IF(AA107&gt;0,"❌ COLD",""))))),"")</f>
        <v/>
      </c>
      <c r="AC107" s="23">
        <f>IFERROR(IF(AND(AA107&gt;=60,OR(W107="Yes",W107="Later")),"🚨 URGENT",IF(AND(AA107&gt;=40,I107="Call Back"),"📞 CALL BACK",IF(I107="Booked Meeting","📅 BOOKED",IF(I107="Not Interested","🚫 DEAD","⏳ WORKING")))),"")</f>
        <v/>
      </c>
      <c r="AD107" s="45" t="n"/>
      <c r="AE107" s="37" t="n"/>
      <c r="AF107" s="25">
        <f>IFERROR(IF(AE107="","",AE107-TODAY()),"")</f>
        <v/>
      </c>
      <c r="AG107" s="44" t="n"/>
    </row>
    <row r="108" ht="19.5" customHeight="1" s="105">
      <c r="A108" s="46" t="inlineStr">
        <is>
          <t>Four Seasons Heating &amp; A/C</t>
        </is>
      </c>
      <c r="B108" s="47" t="inlineStr">
        <is>
          <t>(435) 753-3350</t>
        </is>
      </c>
      <c r="C108" s="47" t="inlineStr">
        <is>
          <t>Logan</t>
        </is>
      </c>
      <c r="D108" s="48" t="inlineStr">
        <is>
          <t>Click Here</t>
        </is>
      </c>
      <c r="E108" s="40" t="n"/>
      <c r="F108" s="40" t="n"/>
      <c r="G108" s="40" t="n"/>
      <c r="H108" s="31" t="n"/>
      <c r="I108" s="40" t="n"/>
      <c r="J108" s="40" t="n"/>
      <c r="K108" s="31" t="n"/>
      <c r="L108" s="40" t="n"/>
      <c r="M108" s="40" t="n"/>
      <c r="N108" s="40" t="n"/>
      <c r="O108" s="40" t="n"/>
      <c r="P108" s="40" t="n"/>
      <c r="Q108" s="40" t="n"/>
      <c r="R108" s="40" t="n"/>
      <c r="S108" s="40" t="n"/>
      <c r="T108" s="40" t="n"/>
      <c r="U108" s="40" t="n"/>
      <c r="V108" s="29">
        <f>IFERROR(ROUND((IF(Q108="Severe",4,IF(Q108="Moderate",3,IF(Q108="Minor",2,0)))+IF(R108="Severe",4,IF(R108="Moderate",3,IF(R108="Minor",2,0)))+IF(S108="Severe",4,IF(S108="Moderate",3,IF(S108="Minor",2,0)))+IF(T108="Severe",4,IF(T108="Moderate",3,IF(T108="Minor",2,0))))/16*100,0),"")</f>
        <v/>
      </c>
      <c r="W108" s="31" t="n"/>
      <c r="X108" s="40" t="n"/>
      <c r="Y108" s="40" t="n"/>
      <c r="Z108" s="40" t="n"/>
      <c r="AA108" s="30">
        <f>IFERROR(ROUND(IF(H108&gt;=10,30,IF(H108&gt;=5,20,IF(H108&gt;=2,10,0)))+IF(K108="Yes",20,IF(K108="Unsure",10,0))+IF(W108="Yes",30,IF(W108="Later",15,0))+IFERROR(V108/100*20,0)+IF(L108="Interested",15,IF(L108="Open But Busy",10,IF(L108="Neutral",5,0))),0),"")</f>
        <v/>
      </c>
      <c r="AB108" s="31">
        <f>IFERROR(IF(AA108&gt;=80,"🔥 HOT",IF(AA108&gt;=60,"✅ STRONG",IF(AA108&gt;=40,"⚡ WARM",IF(AA108&gt;=20,"📋 NURTURE",IF(AA108&gt;0,"❌ COLD",""))))),"")</f>
        <v/>
      </c>
      <c r="AC108" s="31">
        <f>IFERROR(IF(AND(AA108&gt;=60,OR(W108="Yes",W108="Later")),"🚨 URGENT",IF(AND(AA108&gt;=40,I108="Call Back"),"📞 CALL BACK",IF(I108="Booked Meeting","📅 BOOKED",IF(I108="Not Interested","🚫 DEAD","⏳ WORKING")))),"")</f>
        <v/>
      </c>
      <c r="AD108" s="42" t="n"/>
      <c r="AE108" s="38" t="n"/>
      <c r="AF108" s="33">
        <f>IFERROR(IF(AE108="","",AE108-TODAY()),"")</f>
        <v/>
      </c>
      <c r="AG108" s="40" t="n"/>
    </row>
    <row r="109" ht="19.5" customHeight="1" s="105">
      <c r="A109" s="46" t="inlineStr">
        <is>
          <t>Gary Ricks Services</t>
        </is>
      </c>
      <c r="B109" s="47" t="inlineStr">
        <is>
          <t>(435) 512-6633</t>
        </is>
      </c>
      <c r="C109" s="47" t="inlineStr">
        <is>
          <t>Logan</t>
        </is>
      </c>
      <c r="D109" s="48" t="inlineStr">
        <is>
          <t>Click Here</t>
        </is>
      </c>
      <c r="E109" s="44" t="n"/>
      <c r="F109" s="44" t="n"/>
      <c r="G109" s="44" t="n"/>
      <c r="H109" s="23" t="n"/>
      <c r="I109" s="44" t="n"/>
      <c r="J109" s="44" t="n"/>
      <c r="K109" s="23" t="n"/>
      <c r="L109" s="44" t="n"/>
      <c r="M109" s="44" t="n"/>
      <c r="N109" s="44" t="n"/>
      <c r="O109" s="44" t="n"/>
      <c r="P109" s="44" t="n"/>
      <c r="Q109" s="44" t="n"/>
      <c r="R109" s="44" t="n"/>
      <c r="S109" s="44" t="n"/>
      <c r="T109" s="44" t="n"/>
      <c r="U109" s="44" t="n"/>
      <c r="V109" s="21">
        <f>IFERROR(ROUND((IF(Q109="Severe",4,IF(Q109="Moderate",3,IF(Q109="Minor",2,0)))+IF(R109="Severe",4,IF(R109="Moderate",3,IF(R109="Minor",2,0)))+IF(S109="Severe",4,IF(S109="Moderate",3,IF(S109="Minor",2,0)))+IF(T109="Severe",4,IF(T109="Moderate",3,IF(T109="Minor",2,0))))/16*100,0),"")</f>
        <v/>
      </c>
      <c r="W109" s="23" t="n"/>
      <c r="X109" s="44" t="n"/>
      <c r="Y109" s="44" t="n"/>
      <c r="Z109" s="44" t="n"/>
      <c r="AA109" s="22">
        <f>IFERROR(ROUND(IF(H109&gt;=10,30,IF(H109&gt;=5,20,IF(H109&gt;=2,10,0)))+IF(K109="Yes",20,IF(K109="Unsure",10,0))+IF(W109="Yes",30,IF(W109="Later",15,0))+IFERROR(V109/100*20,0)+IF(L109="Interested",15,IF(L109="Open But Busy",10,IF(L109="Neutral",5,0))),0),"")</f>
        <v/>
      </c>
      <c r="AB109" s="23">
        <f>IFERROR(IF(AA109&gt;=80,"🔥 HOT",IF(AA109&gt;=60,"✅ STRONG",IF(AA109&gt;=40,"⚡ WARM",IF(AA109&gt;=20,"📋 NURTURE",IF(AA109&gt;0,"❌ COLD",""))))),"")</f>
        <v/>
      </c>
      <c r="AC109" s="23">
        <f>IFERROR(IF(AND(AA109&gt;=60,OR(W109="Yes",W109="Later")),"🚨 URGENT",IF(AND(AA109&gt;=40,I109="Call Back"),"📞 CALL BACK",IF(I109="Booked Meeting","📅 BOOKED",IF(I109="Not Interested","🚫 DEAD","⏳ WORKING")))),"")</f>
        <v/>
      </c>
      <c r="AD109" s="45" t="n"/>
      <c r="AE109" s="37" t="n"/>
      <c r="AF109" s="25">
        <f>IFERROR(IF(AE109="","",AE109-TODAY()),"")</f>
        <v/>
      </c>
      <c r="AG109" s="44" t="n"/>
    </row>
    <row r="110" ht="19.5" customHeight="1" s="105">
      <c r="A110" s="46" t="inlineStr">
        <is>
          <t>Western Mechanical Inc</t>
        </is>
      </c>
      <c r="B110" s="47" t="inlineStr">
        <is>
          <t>(435) 753-5515</t>
        </is>
      </c>
      <c r="C110" s="47" t="inlineStr">
        <is>
          <t>Logan</t>
        </is>
      </c>
      <c r="D110" s="48" t="inlineStr">
        <is>
          <t>Click Here</t>
        </is>
      </c>
      <c r="E110" s="40" t="n"/>
      <c r="F110" s="40" t="n"/>
      <c r="G110" s="40" t="n"/>
      <c r="H110" s="31" t="n"/>
      <c r="I110" s="40" t="n"/>
      <c r="J110" s="40" t="n"/>
      <c r="K110" s="31" t="n"/>
      <c r="L110" s="40" t="n"/>
      <c r="M110" s="40" t="n"/>
      <c r="N110" s="40" t="n"/>
      <c r="O110" s="40" t="n"/>
      <c r="P110" s="40" t="n"/>
      <c r="Q110" s="40" t="n"/>
      <c r="R110" s="40" t="n"/>
      <c r="S110" s="40" t="n"/>
      <c r="T110" s="40" t="n"/>
      <c r="U110" s="40" t="n"/>
      <c r="V110" s="29">
        <f>IFERROR(ROUND((IF(Q110="Severe",4,IF(Q110="Moderate",3,IF(Q110="Minor",2,0)))+IF(R110="Severe",4,IF(R110="Moderate",3,IF(R110="Minor",2,0)))+IF(S110="Severe",4,IF(S110="Moderate",3,IF(S110="Minor",2,0)))+IF(T110="Severe",4,IF(T110="Moderate",3,IF(T110="Minor",2,0))))/16*100,0),"")</f>
        <v/>
      </c>
      <c r="W110" s="31" t="n"/>
      <c r="X110" s="40" t="n"/>
      <c r="Y110" s="40" t="n"/>
      <c r="Z110" s="40" t="n"/>
      <c r="AA110" s="30">
        <f>IFERROR(ROUND(IF(H110&gt;=10,30,IF(H110&gt;=5,20,IF(H110&gt;=2,10,0)))+IF(K110="Yes",20,IF(K110="Unsure",10,0))+IF(W110="Yes",30,IF(W110="Later",15,0))+IFERROR(V110/100*20,0)+IF(L110="Interested",15,IF(L110="Open But Busy",10,IF(L110="Neutral",5,0))),0),"")</f>
        <v/>
      </c>
      <c r="AB110" s="31">
        <f>IFERROR(IF(AA110&gt;=80,"🔥 HOT",IF(AA110&gt;=60,"✅ STRONG",IF(AA110&gt;=40,"⚡ WARM",IF(AA110&gt;=20,"📋 NURTURE",IF(AA110&gt;0,"❌ COLD",""))))),"")</f>
        <v/>
      </c>
      <c r="AC110" s="31">
        <f>IFERROR(IF(AND(AA110&gt;=60,OR(W110="Yes",W110="Later")),"🚨 URGENT",IF(AND(AA110&gt;=40,I110="Call Back"),"📞 CALL BACK",IF(I110="Booked Meeting","📅 BOOKED",IF(I110="Not Interested","🚫 DEAD","⏳ WORKING")))),"")</f>
        <v/>
      </c>
      <c r="AD110" s="42" t="n"/>
      <c r="AE110" s="38" t="n"/>
      <c r="AF110" s="33">
        <f>IFERROR(IF(AE110="","",AE110-TODAY()),"")</f>
        <v/>
      </c>
      <c r="AG110" s="40" t="n"/>
    </row>
    <row r="111" ht="19.5" customHeight="1" s="105">
      <c r="A111" s="46" t="inlineStr">
        <is>
          <t>Christoffersen Heating &amp; Air</t>
        </is>
      </c>
      <c r="B111" s="47" t="inlineStr">
        <is>
          <t>(435) 275-4821</t>
        </is>
      </c>
      <c r="C111" s="47" t="inlineStr">
        <is>
          <t>Logan</t>
        </is>
      </c>
      <c r="D111" s="48" t="inlineStr">
        <is>
          <t>Click Here</t>
        </is>
      </c>
      <c r="E111" s="44" t="n"/>
      <c r="F111" s="44" t="n"/>
      <c r="G111" s="44" t="n"/>
      <c r="H111" s="23" t="n"/>
      <c r="I111" s="44" t="n"/>
      <c r="J111" s="44" t="n"/>
      <c r="K111" s="23" t="n"/>
      <c r="L111" s="44" t="n"/>
      <c r="M111" s="44" t="n"/>
      <c r="N111" s="44" t="n"/>
      <c r="O111" s="44" t="n"/>
      <c r="P111" s="44" t="n"/>
      <c r="Q111" s="44" t="n"/>
      <c r="R111" s="44" t="n"/>
      <c r="S111" s="44" t="n"/>
      <c r="T111" s="44" t="n"/>
      <c r="U111" s="44" t="n"/>
      <c r="V111" s="21">
        <f>IFERROR(ROUND((IF(Q111="Severe",4,IF(Q111="Moderate",3,IF(Q111="Minor",2,0)))+IF(R111="Severe",4,IF(R111="Moderate",3,IF(R111="Minor",2,0)))+IF(S111="Severe",4,IF(S111="Moderate",3,IF(S111="Minor",2,0)))+IF(T111="Severe",4,IF(T111="Moderate",3,IF(T111="Minor",2,0))))/16*100,0),"")</f>
        <v/>
      </c>
      <c r="W111" s="23" t="n"/>
      <c r="X111" s="44" t="n"/>
      <c r="Y111" s="44" t="n"/>
      <c r="Z111" s="44" t="n"/>
      <c r="AA111" s="22">
        <f>IFERROR(ROUND(IF(H111&gt;=10,30,IF(H111&gt;=5,20,IF(H111&gt;=2,10,0)))+IF(K111="Yes",20,IF(K111="Unsure",10,0))+IF(W111="Yes",30,IF(W111="Later",15,0))+IFERROR(V111/100*20,0)+IF(L111="Interested",15,IF(L111="Open But Busy",10,IF(L111="Neutral",5,0))),0),"")</f>
        <v/>
      </c>
      <c r="AB111" s="23">
        <f>IFERROR(IF(AA111&gt;=80,"🔥 HOT",IF(AA111&gt;=60,"✅ STRONG",IF(AA111&gt;=40,"⚡ WARM",IF(AA111&gt;=20,"📋 NURTURE",IF(AA111&gt;0,"❌ COLD",""))))),"")</f>
        <v/>
      </c>
      <c r="AC111" s="23">
        <f>IFERROR(IF(AND(AA111&gt;=60,OR(W111="Yes",W111="Later")),"🚨 URGENT",IF(AND(AA111&gt;=40,I111="Call Back"),"📞 CALL BACK",IF(I111="Booked Meeting","📅 BOOKED",IF(I111="Not Interested","🚫 DEAD","⏳ WORKING")))),"")</f>
        <v/>
      </c>
      <c r="AD111" s="45" t="n"/>
      <c r="AE111" s="37" t="n"/>
      <c r="AF111" s="25">
        <f>IFERROR(IF(AE111="","",AE111-TODAY()),"")</f>
        <v/>
      </c>
      <c r="AG111" s="44" t="n"/>
    </row>
    <row r="112" ht="19.5" customHeight="1" s="105">
      <c r="A112" s="46" t="inlineStr">
        <is>
          <t>MTN Valley Heating &amp; Air</t>
        </is>
      </c>
      <c r="B112" s="47" t="inlineStr">
        <is>
          <t>(435) 753-1180</t>
        </is>
      </c>
      <c r="C112" s="47" t="inlineStr">
        <is>
          <t>Logan</t>
        </is>
      </c>
      <c r="D112" s="48" t="inlineStr">
        <is>
          <t>Click Here</t>
        </is>
      </c>
      <c r="E112" s="40" t="n"/>
      <c r="F112" s="40" t="n"/>
      <c r="G112" s="40" t="n"/>
      <c r="H112" s="31" t="n"/>
      <c r="I112" s="40" t="n"/>
      <c r="J112" s="40" t="n"/>
      <c r="K112" s="31" t="n"/>
      <c r="L112" s="40" t="n"/>
      <c r="M112" s="40" t="n"/>
      <c r="N112" s="40" t="n"/>
      <c r="O112" s="40" t="n"/>
      <c r="P112" s="40" t="n"/>
      <c r="Q112" s="40" t="n"/>
      <c r="R112" s="40" t="n"/>
      <c r="S112" s="40" t="n"/>
      <c r="T112" s="40" t="n"/>
      <c r="U112" s="40" t="n"/>
      <c r="V112" s="29">
        <f>IFERROR(ROUND((IF(Q112="Severe",4,IF(Q112="Moderate",3,IF(Q112="Minor",2,0)))+IF(R112="Severe",4,IF(R112="Moderate",3,IF(R112="Minor",2,0)))+IF(S112="Severe",4,IF(S112="Moderate",3,IF(S112="Minor",2,0)))+IF(T112="Severe",4,IF(T112="Moderate",3,IF(T112="Minor",2,0))))/16*100,0),"")</f>
        <v/>
      </c>
      <c r="W112" s="31" t="n"/>
      <c r="X112" s="40" t="n"/>
      <c r="Y112" s="40" t="n"/>
      <c r="Z112" s="40" t="n"/>
      <c r="AA112" s="30">
        <f>IFERROR(ROUND(IF(H112&gt;=10,30,IF(H112&gt;=5,20,IF(H112&gt;=2,10,0)))+IF(K112="Yes",20,IF(K112="Unsure",10,0))+IF(W112="Yes",30,IF(W112="Later",15,0))+IFERROR(V112/100*20,0)+IF(L112="Interested",15,IF(L112="Open But Busy",10,IF(L112="Neutral",5,0))),0),"")</f>
        <v/>
      </c>
      <c r="AB112" s="31">
        <f>IFERROR(IF(AA112&gt;=80,"🔥 HOT",IF(AA112&gt;=60,"✅ STRONG",IF(AA112&gt;=40,"⚡ WARM",IF(AA112&gt;=20,"📋 NURTURE",IF(AA112&gt;0,"❌ COLD",""))))),"")</f>
        <v/>
      </c>
      <c r="AC112" s="31">
        <f>IFERROR(IF(AND(AA112&gt;=60,OR(W112="Yes",W112="Later")),"🚨 URGENT",IF(AND(AA112&gt;=40,I112="Call Back"),"📞 CALL BACK",IF(I112="Booked Meeting","📅 BOOKED",IF(I112="Not Interested","🚫 DEAD","⏳ WORKING")))),"")</f>
        <v/>
      </c>
      <c r="AD112" s="42" t="n"/>
      <c r="AE112" s="38" t="n"/>
      <c r="AF112" s="33">
        <f>IFERROR(IF(AE112="","",AE112-TODAY()),"")</f>
        <v/>
      </c>
      <c r="AG112" s="40" t="n"/>
    </row>
    <row r="113" ht="19.5" customHeight="1" s="105">
      <c r="A113" s="46" t="inlineStr">
        <is>
          <t>Advanced Heating &amp; Air</t>
        </is>
      </c>
      <c r="B113" s="47" t="inlineStr">
        <is>
          <t>(435) 752-7272</t>
        </is>
      </c>
      <c r="C113" s="47" t="inlineStr">
        <is>
          <t>Logan</t>
        </is>
      </c>
      <c r="D113" s="48" t="inlineStr">
        <is>
          <t>Click Here</t>
        </is>
      </c>
      <c r="E113" s="44" t="n"/>
      <c r="F113" s="44" t="n"/>
      <c r="G113" s="44" t="n"/>
      <c r="H113" s="23" t="n"/>
      <c r="I113" s="44" t="n"/>
      <c r="J113" s="44" t="n"/>
      <c r="K113" s="23" t="n"/>
      <c r="L113" s="44" t="n"/>
      <c r="M113" s="44" t="n"/>
      <c r="N113" s="44" t="n"/>
      <c r="O113" s="44" t="n"/>
      <c r="P113" s="44" t="n"/>
      <c r="Q113" s="44" t="n"/>
      <c r="R113" s="44" t="n"/>
      <c r="S113" s="44" t="n"/>
      <c r="T113" s="44" t="n"/>
      <c r="U113" s="44" t="n"/>
      <c r="V113" s="21">
        <f>IFERROR(ROUND((IF(Q113="Severe",4,IF(Q113="Moderate",3,IF(Q113="Minor",2,0)))+IF(R113="Severe",4,IF(R113="Moderate",3,IF(R113="Minor",2,0)))+IF(S113="Severe",4,IF(S113="Moderate",3,IF(S113="Minor",2,0)))+IF(T113="Severe",4,IF(T113="Moderate",3,IF(T113="Minor",2,0))))/16*100,0),"")</f>
        <v/>
      </c>
      <c r="W113" s="23" t="n"/>
      <c r="X113" s="44" t="n"/>
      <c r="Y113" s="44" t="n"/>
      <c r="Z113" s="44" t="n"/>
      <c r="AA113" s="22">
        <f>IFERROR(ROUND(IF(H113&gt;=10,30,IF(H113&gt;=5,20,IF(H113&gt;=2,10,0)))+IF(K113="Yes",20,IF(K113="Unsure",10,0))+IF(W113="Yes",30,IF(W113="Later",15,0))+IFERROR(V113/100*20,0)+IF(L113="Interested",15,IF(L113="Open But Busy",10,IF(L113="Neutral",5,0))),0),"")</f>
        <v/>
      </c>
      <c r="AB113" s="23">
        <f>IFERROR(IF(AA113&gt;=80,"🔥 HOT",IF(AA113&gt;=60,"✅ STRONG",IF(AA113&gt;=40,"⚡ WARM",IF(AA113&gt;=20,"📋 NURTURE",IF(AA113&gt;0,"❌ COLD",""))))),"")</f>
        <v/>
      </c>
      <c r="AC113" s="23">
        <f>IFERROR(IF(AND(AA113&gt;=60,OR(W113="Yes",W113="Later")),"🚨 URGENT",IF(AND(AA113&gt;=40,I113="Call Back"),"📞 CALL BACK",IF(I113="Booked Meeting","📅 BOOKED",IF(I113="Not Interested","🚫 DEAD","⏳ WORKING")))),"")</f>
        <v/>
      </c>
      <c r="AD113" s="45" t="n"/>
      <c r="AE113" s="37" t="n"/>
      <c r="AF113" s="25">
        <f>IFERROR(IF(AE113="","",AE113-TODAY()),"")</f>
        <v/>
      </c>
      <c r="AG113" s="44" t="n"/>
    </row>
    <row r="114" ht="19.5" customHeight="1" s="105">
      <c r="A114" s="40" t="inlineStr">
        <is>
          <t>Right Away Plumbing Heating &amp; Air</t>
        </is>
      </c>
      <c r="B114" s="31" t="inlineStr">
        <is>
          <t>(385)446-1740</t>
        </is>
      </c>
      <c r="C114" s="31" t="inlineStr">
        <is>
          <t>Magna</t>
        </is>
      </c>
      <c r="D114" s="28" t="inlineStr">
        <is>
          <t>Click Here</t>
        </is>
      </c>
      <c r="E114" s="40" t="n"/>
      <c r="F114" s="40" t="inlineStr">
        <is>
          <t>Man # 3852002505</t>
        </is>
      </c>
      <c r="G114" s="40" t="inlineStr">
        <is>
          <t>Office Manager</t>
        </is>
      </c>
      <c r="H114" s="31" t="n"/>
      <c r="I114" s="40" t="inlineStr">
        <is>
          <t>Answered</t>
        </is>
      </c>
      <c r="J114" s="40" t="inlineStr">
        <is>
          <t>Brett</t>
        </is>
      </c>
      <c r="K114" s="31" t="n"/>
      <c r="L114" s="40" t="n"/>
      <c r="M114" s="40" t="n"/>
      <c r="N114" s="40" t="n"/>
      <c r="O114" s="40" t="n"/>
      <c r="P114" s="40" t="n"/>
      <c r="Q114" s="40" t="n"/>
      <c r="R114" s="40" t="n"/>
      <c r="S114" s="40" t="n"/>
      <c r="T114" s="40" t="n"/>
      <c r="U114" s="40" t="n"/>
      <c r="V114" s="29">
        <f>IFERROR(ROUND((IF(Q114="Severe",4,IF(Q114="Moderate",3,IF(Q114="Minor",2,0)))+IF(R114="Severe",4,IF(R114="Moderate",3,IF(R114="Minor",2,0)))+IF(S114="Severe",4,IF(S114="Moderate",3,IF(S114="Minor",2,0)))+IF(T114="Severe",4,IF(T114="Moderate",3,IF(T114="Minor",2,0))))/16*100,0),"")</f>
        <v/>
      </c>
      <c r="W114" s="31" t="n"/>
      <c r="X114" s="40" t="n"/>
      <c r="Y114" s="40" t="n"/>
      <c r="Z114" s="40" t="n"/>
      <c r="AA114" s="30">
        <f>IFERROR(ROUND(IF(H114&gt;=10,30,IF(H114&gt;=5,20,IF(H114&gt;=2,10,0)))+IF(K114="Yes",20,IF(K114="Unsure",10,0))+IF(W114="Yes",30,IF(W114="Later",15,0))+IFERROR(V114/100*20,0)+IF(L114="Interested",15,IF(L114="Open But Busy",10,IF(L114="Neutral",5,0))),0),"")</f>
        <v/>
      </c>
      <c r="AB114" s="31">
        <f>IFERROR(IF(AA114&gt;=80,"🔥 HOT",IF(AA114&gt;=60,"✅ STRONG",IF(AA114&gt;=40,"⚡ WARM",IF(AA114&gt;=20,"📋 NURTURE",IF(AA114&gt;0,"❌ COLD",""))))),"")</f>
        <v/>
      </c>
      <c r="AC114" s="31">
        <f>IFERROR(IF(AND(AA114&gt;=60,OR(W114="Yes",W114="Later")),"🚨 URGENT",IF(AND(AA114&gt;=40,I114="Call Back"),"📞 CALL BACK",IF(I114="Booked Meeting","📅 BOOKED",IF(I114="Not Interested","🚫 DEAD","⏳ WORKING")))),"")</f>
        <v/>
      </c>
      <c r="AD114" s="42" t="n"/>
      <c r="AE114" s="38" t="n"/>
      <c r="AF114" s="33">
        <f>IFERROR(IF(AE114="","",AE114-TODAY()),"")</f>
        <v/>
      </c>
      <c r="AG114" s="40" t="n"/>
    </row>
    <row r="115" ht="19.5" customHeight="1" s="105">
      <c r="A115" s="44" t="inlineStr">
        <is>
          <t>Infinity HVAC</t>
        </is>
      </c>
      <c r="B115" s="23" t="inlineStr">
        <is>
          <t>(385)449-8391</t>
        </is>
      </c>
      <c r="C115" s="23" t="inlineStr">
        <is>
          <t>(?)</t>
        </is>
      </c>
      <c r="D115" s="20" t="inlineStr">
        <is>
          <t>Click Here</t>
        </is>
      </c>
      <c r="E115" s="44" t="n"/>
      <c r="F115" s="44" t="n"/>
      <c r="G115" s="44" t="n"/>
      <c r="H115" s="23" t="n"/>
      <c r="I115" s="44" t="inlineStr">
        <is>
          <t>Answered</t>
        </is>
      </c>
      <c r="J115" s="44" t="n"/>
      <c r="K115" s="23" t="n"/>
      <c r="L115" s="44" t="n"/>
      <c r="M115" s="44" t="n"/>
      <c r="N115" s="44" t="n"/>
      <c r="O115" s="44" t="n"/>
      <c r="P115" s="44" t="n"/>
      <c r="Q115" s="44" t="n"/>
      <c r="R115" s="44" t="n"/>
      <c r="S115" s="44" t="n"/>
      <c r="T115" s="44" t="n"/>
      <c r="U115" s="44" t="n"/>
      <c r="V115" s="21">
        <f>IFERROR(ROUND((IF(Q115="Severe",4,IF(Q115="Moderate",3,IF(Q115="Minor",2,0)))+IF(R115="Severe",4,IF(R115="Moderate",3,IF(R115="Minor",2,0)))+IF(S115="Severe",4,IF(S115="Moderate",3,IF(S115="Minor",2,0)))+IF(T115="Severe",4,IF(T115="Moderate",3,IF(T115="Minor",2,0))))/16*100,0),"")</f>
        <v/>
      </c>
      <c r="W115" s="23" t="n"/>
      <c r="X115" s="44" t="n"/>
      <c r="Y115" s="44" t="n"/>
      <c r="Z115" s="44" t="n"/>
      <c r="AA115" s="22">
        <f>IFERROR(ROUND(IF(H115&gt;=10,30,IF(H115&gt;=5,20,IF(H115&gt;=2,10,0)))+IF(K115="Yes",20,IF(K115="Unsure",10,0))+IF(W115="Yes",30,IF(W115="Later",15,0))+IFERROR(V115/100*20,0)+IF(L115="Interested",15,IF(L115="Open But Busy",10,IF(L115="Neutral",5,0))),0),"")</f>
        <v/>
      </c>
      <c r="AB115" s="23">
        <f>IFERROR(IF(AA115&gt;=80,"🔥 HOT",IF(AA115&gt;=60,"✅ STRONG",IF(AA115&gt;=40,"⚡ WARM",IF(AA115&gt;=20,"📋 NURTURE",IF(AA115&gt;0,"❌ COLD",""))))),"")</f>
        <v/>
      </c>
      <c r="AC115" s="23">
        <f>IFERROR(IF(AND(AA115&gt;=60,OR(W115="Yes",W115="Later")),"🚨 URGENT",IF(AND(AA115&gt;=40,I115="Call Back"),"📞 CALL BACK",IF(I115="Booked Meeting","📅 BOOKED",IF(I115="Not Interested","🚫 DEAD","⏳ WORKING")))),"")</f>
        <v/>
      </c>
      <c r="AD115" s="45" t="n"/>
      <c r="AE115" s="37" t="n"/>
      <c r="AF115" s="25">
        <f>IFERROR(IF(AE115="","",AE115-TODAY()),"")</f>
        <v/>
      </c>
      <c r="AG115" s="44" t="n"/>
    </row>
    <row r="116" ht="19.5" customHeight="1" s="105">
      <c r="A116" s="40" t="inlineStr">
        <is>
          <t>GreenLine HVAC</t>
        </is>
      </c>
      <c r="B116" s="31" t="inlineStr">
        <is>
          <t>(801)252-5362</t>
        </is>
      </c>
      <c r="C116" s="31" t="inlineStr">
        <is>
          <t>Riverton</t>
        </is>
      </c>
      <c r="D116" s="28" t="inlineStr">
        <is>
          <t>Click Here</t>
        </is>
      </c>
      <c r="E116" s="40" t="n"/>
      <c r="F116" s="40" t="n"/>
      <c r="G116" s="40" t="n"/>
      <c r="H116" s="31" t="n">
        <v>6</v>
      </c>
      <c r="I116" s="40" t="inlineStr">
        <is>
          <t>Answered</t>
        </is>
      </c>
      <c r="J116" s="40" t="n"/>
      <c r="K116" s="31" t="n"/>
      <c r="L116" s="40" t="n"/>
      <c r="M116" s="40" t="n"/>
      <c r="N116" s="40" t="inlineStr">
        <is>
          <t>Service Fusions</t>
        </is>
      </c>
      <c r="O116" s="40" t="n"/>
      <c r="P116" s="40" t="n"/>
      <c r="Q116" s="40" t="n"/>
      <c r="R116" s="40" t="n"/>
      <c r="S116" s="40" t="n"/>
      <c r="T116" s="40" t="n"/>
      <c r="U116" s="40" t="n"/>
      <c r="V116" s="29">
        <f>IFERROR(ROUND((IF(Q116="Severe",4,IF(Q116="Moderate",3,IF(Q116="Minor",2,0)))+IF(R116="Severe",4,IF(R116="Moderate",3,IF(R116="Minor",2,0)))+IF(S116="Severe",4,IF(S116="Moderate",3,IF(S116="Minor",2,0)))+IF(T116="Severe",4,IF(T116="Moderate",3,IF(T116="Minor",2,0))))/16*100,0),"")</f>
        <v/>
      </c>
      <c r="W116" s="31" t="n"/>
      <c r="X116" s="40" t="n"/>
      <c r="Y116" s="40" t="n"/>
      <c r="Z116" s="40" t="n"/>
      <c r="AA116" s="30">
        <f>IFERROR(ROUND(IF(H116&gt;=10,30,IF(H116&gt;=5,20,IF(H116&gt;=2,10,0)))+IF(K116="Yes",20,IF(K116="Unsure",10,0))+IF(W116="Yes",30,IF(W116="Later",15,0))+IFERROR(V116/100*20,0)+IF(L116="Interested",15,IF(L116="Open But Busy",10,IF(L116="Neutral",5,0))),0),"")</f>
        <v/>
      </c>
      <c r="AB116" s="31">
        <f>IFERROR(IF(AA116&gt;=80,"🔥 HOT",IF(AA116&gt;=60,"✅ STRONG",IF(AA116&gt;=40,"⚡ WARM",IF(AA116&gt;=20,"📋 NURTURE",IF(AA116&gt;0,"❌ COLD",""))))),"")</f>
        <v/>
      </c>
      <c r="AC116" s="31">
        <f>IFERROR(IF(AND(AA116&gt;=60,OR(W116="Yes",W116="Later")),"🚨 URGENT",IF(AND(AA116&gt;=40,I116="Call Back"),"📞 CALL BACK",IF(I116="Booked Meeting","📅 BOOKED",IF(I116="Not Interested","🚫 DEAD","⏳ WORKING")))),"")</f>
        <v/>
      </c>
      <c r="AD116" s="42" t="n"/>
      <c r="AE116" s="38" t="n"/>
      <c r="AF116" s="33">
        <f>IFERROR(IF(AE116="","",AE116-TODAY()),"")</f>
        <v/>
      </c>
      <c r="AG116" s="40" t="n"/>
    </row>
    <row r="117" ht="19.5" customHeight="1" s="105">
      <c r="A117" s="44" t="inlineStr">
        <is>
          <t>Husky Heating and Air</t>
        </is>
      </c>
      <c r="B117" s="23" t="inlineStr">
        <is>
          <t>(385)299-6524</t>
        </is>
      </c>
      <c r="C117" s="23" t="inlineStr">
        <is>
          <t>?</t>
        </is>
      </c>
      <c r="D117" s="20" t="inlineStr">
        <is>
          <t>Click Here</t>
        </is>
      </c>
      <c r="E117" s="44" t="inlineStr">
        <is>
          <t>James</t>
        </is>
      </c>
      <c r="F117" s="44" t="n"/>
      <c r="G117" s="44" t="inlineStr">
        <is>
          <t>Owner</t>
        </is>
      </c>
      <c r="H117" s="23" t="n"/>
      <c r="I117" s="44" t="inlineStr">
        <is>
          <t>Answered</t>
        </is>
      </c>
      <c r="J117" s="44" t="n"/>
      <c r="K117" s="23" t="n"/>
      <c r="L117" s="44" t="n"/>
      <c r="M117" s="44" t="n"/>
      <c r="N117" s="44" t="n"/>
      <c r="O117" s="44" t="n"/>
      <c r="P117" s="44" t="n"/>
      <c r="Q117" s="44" t="n"/>
      <c r="R117" s="44" t="n"/>
      <c r="S117" s="44" t="n"/>
      <c r="T117" s="44" t="n"/>
      <c r="U117" s="44" t="n"/>
      <c r="V117" s="21">
        <f>IFERROR(ROUND((IF(Q117="Severe",4,IF(Q117="Moderate",3,IF(Q117="Minor",2,0)))+IF(R117="Severe",4,IF(R117="Moderate",3,IF(R117="Minor",2,0)))+IF(S117="Severe",4,IF(S117="Moderate",3,IF(S117="Minor",2,0)))+IF(T117="Severe",4,IF(T117="Moderate",3,IF(T117="Minor",2,0))))/16*100,0),"")</f>
        <v/>
      </c>
      <c r="W117" s="23" t="n"/>
      <c r="X117" s="44" t="n"/>
      <c r="Y117" s="44" t="n"/>
      <c r="Z117" s="44" t="n"/>
      <c r="AA117" s="22">
        <f>IFERROR(ROUND(IF(H117&gt;=10,30,IF(H117&gt;=5,20,IF(H117&gt;=2,10,0)))+IF(K117="Yes",20,IF(K117="Unsure",10,0))+IF(W117="Yes",30,IF(W117="Later",15,0))+IFERROR(V117/100*20,0)+IF(L117="Interested",15,IF(L117="Open But Busy",10,IF(L117="Neutral",5,0))),0),"")</f>
        <v/>
      </c>
      <c r="AB117" s="23">
        <f>IFERROR(IF(AA117&gt;=80,"🔥 HOT",IF(AA117&gt;=60,"✅ STRONG",IF(AA117&gt;=40,"⚡ WARM",IF(AA117&gt;=20,"📋 NURTURE",IF(AA117&gt;0,"❌ COLD",""))))),"")</f>
        <v/>
      </c>
      <c r="AC117" s="23">
        <f>IFERROR(IF(AND(AA117&gt;=60,OR(W117="Yes",W117="Later")),"🚨 URGENT",IF(AND(AA117&gt;=40,I117="Call Back"),"📞 CALL BACK",IF(I117="Booked Meeting","📅 BOOKED",IF(I117="Not Interested","🚫 DEAD","⏳ WORKING")))),"")</f>
        <v/>
      </c>
      <c r="AD117" s="45" t="n"/>
      <c r="AE117" s="37" t="n"/>
      <c r="AF117" s="25">
        <f>IFERROR(IF(AE117="","",AE117-TODAY()),"")</f>
        <v/>
      </c>
      <c r="AG117" s="44" t="n"/>
    </row>
    <row r="118" ht="19.5" customHeight="1" s="105">
      <c r="A118" s="40" t="inlineStr">
        <is>
          <t>Bond Heating And Cooling</t>
        </is>
      </c>
      <c r="B118" s="31" t="n"/>
      <c r="C118" s="31" t="n"/>
      <c r="D118" s="31" t="n"/>
      <c r="E118" s="40" t="n"/>
      <c r="F118" s="40" t="inlineStr">
        <is>
          <t>BondsHVAC@Gmail.com</t>
        </is>
      </c>
      <c r="G118" s="40" t="n"/>
      <c r="H118" s="31" t="n"/>
      <c r="I118" s="40" t="n"/>
      <c r="J118" s="40" t="n"/>
      <c r="K118" s="31" t="n"/>
      <c r="L118" s="40" t="n"/>
      <c r="M118" s="40" t="n"/>
      <c r="N118" s="40" t="n"/>
      <c r="O118" s="40" t="n"/>
      <c r="P118" s="40" t="n"/>
      <c r="Q118" s="40" t="n"/>
      <c r="R118" s="40" t="n"/>
      <c r="S118" s="40" t="n"/>
      <c r="T118" s="40" t="n"/>
      <c r="U118" s="40" t="n"/>
      <c r="V118" s="29">
        <f>IFERROR(ROUND((IF(Q118="Severe",4,IF(Q118="Moderate",3,IF(Q118="Minor",2,0)))+IF(R118="Severe",4,IF(R118="Moderate",3,IF(R118="Minor",2,0)))+IF(S118="Severe",4,IF(S118="Moderate",3,IF(S118="Minor",2,0)))+IF(T118="Severe",4,IF(T118="Moderate",3,IF(T118="Minor",2,0))))/16*100,0),"")</f>
        <v/>
      </c>
      <c r="W118" s="31" t="n"/>
      <c r="X118" s="40" t="n"/>
      <c r="Y118" s="40" t="n"/>
      <c r="Z118" s="40" t="n"/>
      <c r="AA118" s="30">
        <f>IFERROR(ROUND(IF(H118&gt;=10,30,IF(H118&gt;=5,20,IF(H118&gt;=2,10,0)))+IF(K118="Yes",20,IF(K118="Unsure",10,0))+IF(W118="Yes",30,IF(W118="Later",15,0))+IFERROR(V118/100*20,0)+IF(L118="Interested",15,IF(L118="Open But Busy",10,IF(L118="Neutral",5,0))),0),"")</f>
        <v/>
      </c>
      <c r="AB118" s="31">
        <f>IFERROR(IF(AA118&gt;=80,"🔥 HOT",IF(AA118&gt;=60,"✅ STRONG",IF(AA118&gt;=40,"⚡ WARM",IF(AA118&gt;=20,"📋 NURTURE",IF(AA118&gt;0,"❌ COLD",""))))),"")</f>
        <v/>
      </c>
      <c r="AC118" s="31">
        <f>IFERROR(IF(AND(AA118&gt;=60,OR(W118="Yes",W118="Later")),"🚨 URGENT",IF(AND(AA118&gt;=40,I118="Call Back"),"📞 CALL BACK",IF(I118="Booked Meeting","📅 BOOKED",IF(I118="Not Interested","🚫 DEAD","⏳ WORKING")))),"")</f>
        <v/>
      </c>
      <c r="AD118" s="42" t="n"/>
      <c r="AE118" s="38" t="n"/>
      <c r="AF118" s="33">
        <f>IFERROR(IF(AE118="","",AE118-TODAY()),"")</f>
        <v/>
      </c>
      <c r="AG118" s="40" t="n"/>
    </row>
    <row r="119" ht="19.5" customHeight="1" s="105">
      <c r="A119" s="44" t="n"/>
      <c r="B119" s="23" t="n"/>
      <c r="C119" s="23" t="n"/>
      <c r="D119" s="23" t="n"/>
      <c r="E119" s="44" t="n"/>
      <c r="F119" s="44" t="n"/>
      <c r="G119" s="44" t="n"/>
      <c r="H119" s="23" t="n"/>
      <c r="I119" s="44" t="n"/>
      <c r="J119" s="44" t="n"/>
      <c r="K119" s="23" t="n"/>
      <c r="L119" s="44" t="n"/>
      <c r="M119" s="44" t="n"/>
      <c r="N119" s="44" t="n"/>
      <c r="O119" s="44" t="n"/>
      <c r="P119" s="44" t="n"/>
      <c r="Q119" s="44" t="n"/>
      <c r="R119" s="44" t="n"/>
      <c r="S119" s="44" t="n"/>
      <c r="T119" s="44" t="n"/>
      <c r="U119" s="44" t="n"/>
      <c r="V119" s="21">
        <f>IFERROR(ROUND((IF(Q119="Severe",4,IF(Q119="Moderate",3,IF(Q119="Minor",2,0)))+IF(R119="Severe",4,IF(R119="Moderate",3,IF(R119="Minor",2,0)))+IF(S119="Severe",4,IF(S119="Moderate",3,IF(S119="Minor",2,0)))+IF(T119="Severe",4,IF(T119="Moderate",3,IF(T119="Minor",2,0))))/16*100,0),"")</f>
        <v/>
      </c>
      <c r="W119" s="23" t="n"/>
      <c r="X119" s="44" t="n"/>
      <c r="Y119" s="44" t="n"/>
      <c r="Z119" s="44" t="n"/>
      <c r="AA119" s="22">
        <f>IFERROR(ROUND(IF(H119&gt;=10,30,IF(H119&gt;=5,20,IF(H119&gt;=2,10,0)))+IF(K119="Yes",20,IF(K119="Unsure",10,0))+IF(W119="Yes",30,IF(W119="Later",15,0))+IFERROR(V119/100*20,0)+IF(L119="Interested",15,IF(L119="Open But Busy",10,IF(L119="Neutral",5,0))),0),"")</f>
        <v/>
      </c>
      <c r="AB119" s="23">
        <f>IFERROR(IF(AA119&gt;=80,"🔥 HOT",IF(AA119&gt;=60,"✅ STRONG",IF(AA119&gt;=40,"⚡ WARM",IF(AA119&gt;=20,"📋 NURTURE",IF(AA119&gt;0,"❌ COLD",""))))),"")</f>
        <v/>
      </c>
      <c r="AC119" s="23">
        <f>IFERROR(IF(AND(AA119&gt;=60,OR(W119="Yes",W119="Later")),"🚨 URGENT",IF(AND(AA119&gt;=40,I119="Call Back"),"📞 CALL BACK",IF(I119="Booked Meeting","📅 BOOKED",IF(I119="Not Interested","🚫 DEAD","⏳ WORKING")))),"")</f>
        <v/>
      </c>
      <c r="AD119" s="45" t="n"/>
      <c r="AE119" s="37" t="n"/>
      <c r="AF119" s="25">
        <f>IFERROR(IF(AE119="","",AE119-TODAY()),"")</f>
        <v/>
      </c>
      <c r="AG119" s="44" t="n"/>
    </row>
    <row r="120" ht="19.5" customHeight="1" s="105">
      <c r="A120" s="40" t="n"/>
      <c r="B120" s="31" t="n"/>
      <c r="C120" s="31" t="n"/>
      <c r="D120" s="31" t="n"/>
      <c r="E120" s="40" t="n"/>
      <c r="F120" s="40" t="n"/>
      <c r="G120" s="40" t="n"/>
      <c r="H120" s="31" t="n"/>
      <c r="I120" s="40" t="n"/>
      <c r="J120" s="40" t="n"/>
      <c r="K120" s="31" t="n"/>
      <c r="L120" s="40" t="n"/>
      <c r="M120" s="40" t="n"/>
      <c r="N120" s="40" t="n"/>
      <c r="O120" s="40" t="n"/>
      <c r="P120" s="40" t="n"/>
      <c r="Q120" s="40" t="n"/>
      <c r="R120" s="40" t="n"/>
      <c r="S120" s="40" t="n"/>
      <c r="T120" s="40" t="n"/>
      <c r="U120" s="40" t="n"/>
      <c r="V120" s="29">
        <f>IFERROR(ROUND((IF(Q120="Severe",4,IF(Q120="Moderate",3,IF(Q120="Minor",2,0)))+IF(R120="Severe",4,IF(R120="Moderate",3,IF(R120="Minor",2,0)))+IF(S120="Severe",4,IF(S120="Moderate",3,IF(S120="Minor",2,0)))+IF(T120="Severe",4,IF(T120="Moderate",3,IF(T120="Minor",2,0))))/16*100,0),"")</f>
        <v/>
      </c>
      <c r="W120" s="31" t="n"/>
      <c r="X120" s="40" t="n"/>
      <c r="Y120" s="40" t="n"/>
      <c r="Z120" s="40" t="n"/>
      <c r="AA120" s="30">
        <f>IFERROR(ROUND(IF(H120&gt;=10,30,IF(H120&gt;=5,20,IF(H120&gt;=2,10,0)))+IF(K120="Yes",20,IF(K120="Unsure",10,0))+IF(W120="Yes",30,IF(W120="Later",15,0))+IFERROR(V120/100*20,0)+IF(L120="Interested",15,IF(L120="Open But Busy",10,IF(L120="Neutral",5,0))),0),"")</f>
        <v/>
      </c>
      <c r="AB120" s="31">
        <f>IFERROR(IF(AA120&gt;=80,"🔥 HOT",IF(AA120&gt;=60,"✅ STRONG",IF(AA120&gt;=40,"⚡ WARM",IF(AA120&gt;=20,"📋 NURTURE",IF(AA120&gt;0,"❌ COLD",""))))),"")</f>
        <v/>
      </c>
      <c r="AC120" s="31">
        <f>IFERROR(IF(AND(AA120&gt;=60,OR(W120="Yes",W120="Later")),"🚨 URGENT",IF(AND(AA120&gt;=40,I120="Call Back"),"📞 CALL BACK",IF(I120="Booked Meeting","📅 BOOKED",IF(I120="Not Interested","🚫 DEAD","⏳ WORKING")))),"")</f>
        <v/>
      </c>
      <c r="AD120" s="42" t="n"/>
      <c r="AE120" s="38" t="n"/>
      <c r="AF120" s="33">
        <f>IFERROR(IF(AE120="","",AE120-TODAY()),"")</f>
        <v/>
      </c>
      <c r="AG120" s="40" t="n"/>
    </row>
    <row r="121" ht="19.5" customHeight="1" s="105">
      <c r="A121" s="44" t="n"/>
      <c r="B121" s="23" t="n"/>
      <c r="C121" s="23" t="n"/>
      <c r="D121" s="23" t="n"/>
      <c r="E121" s="44" t="n"/>
      <c r="F121" s="44" t="n"/>
      <c r="G121" s="44" t="n"/>
      <c r="H121" s="23" t="n"/>
      <c r="I121" s="44" t="n"/>
      <c r="J121" s="44" t="n"/>
      <c r="K121" s="23" t="n"/>
      <c r="L121" s="44" t="n"/>
      <c r="M121" s="44" t="n"/>
      <c r="N121" s="44" t="n"/>
      <c r="O121" s="44" t="n"/>
      <c r="P121" s="44" t="n"/>
      <c r="Q121" s="44" t="n"/>
      <c r="R121" s="44" t="n"/>
      <c r="S121" s="44" t="n"/>
      <c r="T121" s="44" t="n"/>
      <c r="U121" s="44" t="n"/>
      <c r="V121" s="21">
        <f>IFERROR(ROUND((IF(Q121="Severe",4,IF(Q121="Moderate",3,IF(Q121="Minor",2,0)))+IF(R121="Severe",4,IF(R121="Moderate",3,IF(R121="Minor",2,0)))+IF(S121="Severe",4,IF(S121="Moderate",3,IF(S121="Minor",2,0)))+IF(T121="Severe",4,IF(T121="Moderate",3,IF(T121="Minor",2,0))))/16*100,0),"")</f>
        <v/>
      </c>
      <c r="W121" s="23" t="n"/>
      <c r="X121" s="44" t="n"/>
      <c r="Y121" s="44" t="n"/>
      <c r="Z121" s="44" t="n"/>
      <c r="AA121" s="22">
        <f>IFERROR(ROUND(IF(H121&gt;=10,30,IF(H121&gt;=5,20,IF(H121&gt;=2,10,0)))+IF(K121="Yes",20,IF(K121="Unsure",10,0))+IF(W121="Yes",30,IF(W121="Later",15,0))+IFERROR(V121/100*20,0)+IF(L121="Interested",15,IF(L121="Open But Busy",10,IF(L121="Neutral",5,0))),0),"")</f>
        <v/>
      </c>
      <c r="AB121" s="23">
        <f>IFERROR(IF(AA121&gt;=80,"🔥 HOT",IF(AA121&gt;=60,"✅ STRONG",IF(AA121&gt;=40,"⚡ WARM",IF(AA121&gt;=20,"📋 NURTURE",IF(AA121&gt;0,"❌ COLD",""))))),"")</f>
        <v/>
      </c>
      <c r="AC121" s="23">
        <f>IFERROR(IF(AND(AA121&gt;=60,OR(W121="Yes",W121="Later")),"🚨 URGENT",IF(AND(AA121&gt;=40,I121="Call Back"),"📞 CALL BACK",IF(I121="Booked Meeting","📅 BOOKED",IF(I121="Not Interested","🚫 DEAD","⏳ WORKING")))),"")</f>
        <v/>
      </c>
      <c r="AD121" s="45" t="n"/>
      <c r="AE121" s="37" t="n"/>
      <c r="AF121" s="25">
        <f>IFERROR(IF(AE121="","",AE121-TODAY()),"")</f>
        <v/>
      </c>
      <c r="AG121" s="44" t="n"/>
    </row>
    <row r="122" ht="19.5" customHeight="1" s="105">
      <c r="A122" s="40" t="n"/>
      <c r="B122" s="31" t="n"/>
      <c r="C122" s="31" t="n"/>
      <c r="D122" s="31" t="n"/>
      <c r="E122" s="40" t="n"/>
      <c r="F122" s="40" t="n"/>
      <c r="G122" s="40" t="n"/>
      <c r="H122" s="31" t="n"/>
      <c r="I122" s="40" t="n"/>
      <c r="J122" s="40" t="n"/>
      <c r="K122" s="31" t="n"/>
      <c r="L122" s="40" t="n"/>
      <c r="M122" s="40" t="n"/>
      <c r="N122" s="40" t="n"/>
      <c r="O122" s="40" t="n"/>
      <c r="P122" s="40" t="n"/>
      <c r="Q122" s="40" t="n"/>
      <c r="R122" s="40" t="n"/>
      <c r="S122" s="40" t="n"/>
      <c r="T122" s="40" t="n"/>
      <c r="U122" s="40" t="n"/>
      <c r="V122" s="29">
        <f>IFERROR(ROUND((IF(Q122="Severe",4,IF(Q122="Moderate",3,IF(Q122="Minor",2,0)))+IF(R122="Severe",4,IF(R122="Moderate",3,IF(R122="Minor",2,0)))+IF(S122="Severe",4,IF(S122="Moderate",3,IF(S122="Minor",2,0)))+IF(T122="Severe",4,IF(T122="Moderate",3,IF(T122="Minor",2,0))))/16*100,0),"")</f>
        <v/>
      </c>
      <c r="W122" s="31" t="n"/>
      <c r="X122" s="40" t="n"/>
      <c r="Y122" s="40" t="n"/>
      <c r="Z122" s="40" t="n"/>
      <c r="AA122" s="30">
        <f>IFERROR(ROUND(IF(H122&gt;=10,30,IF(H122&gt;=5,20,IF(H122&gt;=2,10,0)))+IF(K122="Yes",20,IF(K122="Unsure",10,0))+IF(W122="Yes",30,IF(W122="Later",15,0))+IFERROR(V122/100*20,0)+IF(L122="Interested",15,IF(L122="Open But Busy",10,IF(L122="Neutral",5,0))),0),"")</f>
        <v/>
      </c>
      <c r="AB122" s="31">
        <f>IFERROR(IF(AA122&gt;=80,"🔥 HOT",IF(AA122&gt;=60,"✅ STRONG",IF(AA122&gt;=40,"⚡ WARM",IF(AA122&gt;=20,"📋 NURTURE",IF(AA122&gt;0,"❌ COLD",""))))),"")</f>
        <v/>
      </c>
      <c r="AC122" s="31">
        <f>IFERROR(IF(AND(AA122&gt;=60,OR(W122="Yes",W122="Later")),"🚨 URGENT",IF(AND(AA122&gt;=40,I122="Call Back"),"📞 CALL BACK",IF(I122="Booked Meeting","📅 BOOKED",IF(I122="Not Interested","🚫 DEAD","⏳ WORKING")))),"")</f>
        <v/>
      </c>
      <c r="AD122" s="42" t="n"/>
      <c r="AE122" s="38" t="n"/>
      <c r="AF122" s="33">
        <f>IFERROR(IF(AE122="","",AE122-TODAY()),"")</f>
        <v/>
      </c>
      <c r="AG122" s="40" t="n"/>
    </row>
    <row r="123" ht="19.5" customHeight="1" s="105">
      <c r="A123" s="44" t="n"/>
      <c r="B123" s="23" t="n"/>
      <c r="C123" s="23" t="n"/>
      <c r="D123" s="23" t="n"/>
      <c r="E123" s="44" t="n"/>
      <c r="F123" s="44" t="n"/>
      <c r="G123" s="44" t="n"/>
      <c r="H123" s="23" t="n"/>
      <c r="I123" s="44" t="n"/>
      <c r="J123" s="44" t="n"/>
      <c r="K123" s="23" t="n"/>
      <c r="L123" s="44" t="n"/>
      <c r="M123" s="44" t="n"/>
      <c r="N123" s="44" t="n"/>
      <c r="O123" s="44" t="n"/>
      <c r="P123" s="44" t="n"/>
      <c r="Q123" s="44" t="n"/>
      <c r="R123" s="44" t="n"/>
      <c r="S123" s="44" t="n"/>
      <c r="T123" s="44" t="n"/>
      <c r="U123" s="44" t="n"/>
      <c r="V123" s="21">
        <f>IFERROR(ROUND((IF(Q123="Severe",4,IF(Q123="Moderate",3,IF(Q123="Minor",2,0)))+IF(R123="Severe",4,IF(R123="Moderate",3,IF(R123="Minor",2,0)))+IF(S123="Severe",4,IF(S123="Moderate",3,IF(S123="Minor",2,0)))+IF(T123="Severe",4,IF(T123="Moderate",3,IF(T123="Minor",2,0))))/16*100,0),"")</f>
        <v/>
      </c>
      <c r="W123" s="23" t="n"/>
      <c r="X123" s="44" t="n"/>
      <c r="Y123" s="44" t="n"/>
      <c r="Z123" s="44" t="n"/>
      <c r="AA123" s="22">
        <f>IFERROR(ROUND(IF(H123&gt;=10,30,IF(H123&gt;=5,20,IF(H123&gt;=2,10,0)))+IF(K123="Yes",20,IF(K123="Unsure",10,0))+IF(W123="Yes",30,IF(W123="Later",15,0))+IFERROR(V123/100*20,0)+IF(L123="Interested",15,IF(L123="Open But Busy",10,IF(L123="Neutral",5,0))),0),"")</f>
        <v/>
      </c>
      <c r="AB123" s="23">
        <f>IFERROR(IF(AA123&gt;=80,"🔥 HOT",IF(AA123&gt;=60,"✅ STRONG",IF(AA123&gt;=40,"⚡ WARM",IF(AA123&gt;=20,"📋 NURTURE",IF(AA123&gt;0,"❌ COLD",""))))),"")</f>
        <v/>
      </c>
      <c r="AC123" s="23">
        <f>IFERROR(IF(AND(AA123&gt;=60,OR(W123="Yes",W123="Later")),"🚨 URGENT",IF(AND(AA123&gt;=40,I123="Call Back"),"📞 CALL BACK",IF(I123="Booked Meeting","📅 BOOKED",IF(I123="Not Interested","🚫 DEAD","⏳ WORKING")))),"")</f>
        <v/>
      </c>
      <c r="AD123" s="45" t="n"/>
      <c r="AE123" s="37" t="n"/>
      <c r="AF123" s="25">
        <f>IFERROR(IF(AE123="","",AE123-TODAY()),"")</f>
        <v/>
      </c>
      <c r="AG123" s="44" t="n"/>
    </row>
    <row r="124" ht="19.5" customHeight="1" s="105">
      <c r="A124" s="40" t="n"/>
      <c r="B124" s="31" t="n"/>
      <c r="C124" s="31" t="n"/>
      <c r="D124" s="31" t="n"/>
      <c r="E124" s="40" t="n"/>
      <c r="F124" s="40" t="n"/>
      <c r="G124" s="40" t="n"/>
      <c r="H124" s="31" t="n"/>
      <c r="I124" s="40" t="n"/>
      <c r="J124" s="40" t="n"/>
      <c r="K124" s="31" t="n"/>
      <c r="L124" s="40" t="n"/>
      <c r="M124" s="40" t="n"/>
      <c r="N124" s="40" t="n"/>
      <c r="O124" s="40" t="n"/>
      <c r="P124" s="40" t="n"/>
      <c r="Q124" s="40" t="n"/>
      <c r="R124" s="40" t="n"/>
      <c r="S124" s="40" t="n"/>
      <c r="T124" s="40" t="n"/>
      <c r="U124" s="40" t="n"/>
      <c r="V124" s="29">
        <f>IFERROR(ROUND((IF(Q124="Severe",4,IF(Q124="Moderate",3,IF(Q124="Minor",2,0)))+IF(R124="Severe",4,IF(R124="Moderate",3,IF(R124="Minor",2,0)))+IF(S124="Severe",4,IF(S124="Moderate",3,IF(S124="Minor",2,0)))+IF(T124="Severe",4,IF(T124="Moderate",3,IF(T124="Minor",2,0))))/16*100,0),"")</f>
        <v/>
      </c>
      <c r="W124" s="31" t="n"/>
      <c r="X124" s="40" t="n"/>
      <c r="Y124" s="40" t="n"/>
      <c r="Z124" s="40" t="n"/>
      <c r="AA124" s="30">
        <f>IFERROR(ROUND(IF(H124&gt;=10,30,IF(H124&gt;=5,20,IF(H124&gt;=2,10,0)))+IF(K124="Yes",20,IF(K124="Unsure",10,0))+IF(W124="Yes",30,IF(W124="Later",15,0))+IFERROR(V124/100*20,0)+IF(L124="Interested",15,IF(L124="Open But Busy",10,IF(L124="Neutral",5,0))),0),"")</f>
        <v/>
      </c>
      <c r="AB124" s="31">
        <f>IFERROR(IF(AA124&gt;=80,"🔥 HOT",IF(AA124&gt;=60,"✅ STRONG",IF(AA124&gt;=40,"⚡ WARM",IF(AA124&gt;=20,"📋 NURTURE",IF(AA124&gt;0,"❌ COLD",""))))),"")</f>
        <v/>
      </c>
      <c r="AC124" s="31">
        <f>IFERROR(IF(AND(AA124&gt;=60,OR(W124="Yes",W124="Later")),"🚨 URGENT",IF(AND(AA124&gt;=40,I124="Call Back"),"📞 CALL BACK",IF(I124="Booked Meeting","📅 BOOKED",IF(I124="Not Interested","🚫 DEAD","⏳ WORKING")))),"")</f>
        <v/>
      </c>
      <c r="AD124" s="42" t="n"/>
      <c r="AE124" s="38" t="n"/>
      <c r="AF124" s="33">
        <f>IFERROR(IF(AE124="","",AE124-TODAY()),"")</f>
        <v/>
      </c>
      <c r="AG124" s="40" t="n"/>
    </row>
    <row r="125" ht="19.5" customHeight="1" s="105">
      <c r="A125" s="44" t="n"/>
      <c r="B125" s="23" t="n"/>
      <c r="C125" s="23" t="n"/>
      <c r="D125" s="23" t="n"/>
      <c r="E125" s="44" t="n"/>
      <c r="F125" s="44" t="n"/>
      <c r="G125" s="44" t="n"/>
      <c r="H125" s="23" t="n"/>
      <c r="I125" s="44" t="n"/>
      <c r="J125" s="44" t="n"/>
      <c r="K125" s="23" t="n"/>
      <c r="L125" s="44" t="n"/>
      <c r="M125" s="44" t="n"/>
      <c r="N125" s="44" t="n"/>
      <c r="O125" s="44" t="n"/>
      <c r="P125" s="44" t="n"/>
      <c r="Q125" s="44" t="n"/>
      <c r="R125" s="44" t="n"/>
      <c r="S125" s="44" t="n"/>
      <c r="T125" s="44" t="n"/>
      <c r="U125" s="44" t="n"/>
      <c r="V125" s="21">
        <f>IFERROR(ROUND((IF(Q125="Severe",4,IF(Q125="Moderate",3,IF(Q125="Minor",2,0)))+IF(R125="Severe",4,IF(R125="Moderate",3,IF(R125="Minor",2,0)))+IF(S125="Severe",4,IF(S125="Moderate",3,IF(S125="Minor",2,0)))+IF(T125="Severe",4,IF(T125="Moderate",3,IF(T125="Minor",2,0))))/16*100,0),"")</f>
        <v/>
      </c>
      <c r="W125" s="23" t="n"/>
      <c r="X125" s="44" t="n"/>
      <c r="Y125" s="44" t="n"/>
      <c r="Z125" s="44" t="n"/>
      <c r="AA125" s="22">
        <f>IFERROR(ROUND(IF(H125&gt;=10,30,IF(H125&gt;=5,20,IF(H125&gt;=2,10,0)))+IF(K125="Yes",20,IF(K125="Unsure",10,0))+IF(W125="Yes",30,IF(W125="Later",15,0))+IFERROR(V125/100*20,0)+IF(L125="Interested",15,IF(L125="Open But Busy",10,IF(L125="Neutral",5,0))),0),"")</f>
        <v/>
      </c>
      <c r="AB125" s="23">
        <f>IFERROR(IF(AA125&gt;=80,"🔥 HOT",IF(AA125&gt;=60,"✅ STRONG",IF(AA125&gt;=40,"⚡ WARM",IF(AA125&gt;=20,"📋 NURTURE",IF(AA125&gt;0,"❌ COLD",""))))),"")</f>
        <v/>
      </c>
      <c r="AC125" s="23">
        <f>IFERROR(IF(AND(AA125&gt;=60,OR(W125="Yes",W125="Later")),"🚨 URGENT",IF(AND(AA125&gt;=40,I125="Call Back"),"📞 CALL BACK",IF(I125="Booked Meeting","📅 BOOKED",IF(I125="Not Interested","🚫 DEAD","⏳ WORKING")))),"")</f>
        <v/>
      </c>
      <c r="AD125" s="45" t="n"/>
      <c r="AE125" s="37" t="n"/>
      <c r="AF125" s="25">
        <f>IFERROR(IF(AE125="","",AE125-TODAY()),"")</f>
        <v/>
      </c>
      <c r="AG125" s="44" t="n"/>
    </row>
    <row r="126" ht="19.5" customHeight="1" s="105">
      <c r="A126" s="40" t="n"/>
      <c r="B126" s="31" t="n"/>
      <c r="C126" s="31" t="n"/>
      <c r="D126" s="31" t="n"/>
      <c r="E126" s="40" t="n"/>
      <c r="F126" s="40" t="n"/>
      <c r="G126" s="40" t="n"/>
      <c r="H126" s="31" t="n"/>
      <c r="I126" s="40" t="n"/>
      <c r="J126" s="40" t="n"/>
      <c r="K126" s="31" t="n"/>
      <c r="L126" s="40" t="n"/>
      <c r="M126" s="40" t="n"/>
      <c r="N126" s="40" t="n"/>
      <c r="O126" s="40" t="n"/>
      <c r="P126" s="40" t="n"/>
      <c r="Q126" s="40" t="n"/>
      <c r="R126" s="40" t="n"/>
      <c r="S126" s="40" t="n"/>
      <c r="T126" s="40" t="n"/>
      <c r="U126" s="40" t="n"/>
      <c r="V126" s="29">
        <f>IFERROR(ROUND((IF(Q126="Severe",4,IF(Q126="Moderate",3,IF(Q126="Minor",2,0)))+IF(R126="Severe",4,IF(R126="Moderate",3,IF(R126="Minor",2,0)))+IF(S126="Severe",4,IF(S126="Moderate",3,IF(S126="Minor",2,0)))+IF(T126="Severe",4,IF(T126="Moderate",3,IF(T126="Minor",2,0))))/16*100,0),"")</f>
        <v/>
      </c>
      <c r="W126" s="31" t="n"/>
      <c r="X126" s="40" t="n"/>
      <c r="Y126" s="40" t="n"/>
      <c r="Z126" s="40" t="n"/>
      <c r="AA126" s="30">
        <f>IFERROR(ROUND(IF(H126&gt;=10,30,IF(H126&gt;=5,20,IF(H126&gt;=2,10,0)))+IF(K126="Yes",20,IF(K126="Unsure",10,0))+IF(W126="Yes",30,IF(W126="Later",15,0))+IFERROR(V126/100*20,0)+IF(L126="Interested",15,IF(L126="Open But Busy",10,IF(L126="Neutral",5,0))),0),"")</f>
        <v/>
      </c>
      <c r="AB126" s="31">
        <f>IFERROR(IF(AA126&gt;=80,"🔥 HOT",IF(AA126&gt;=60,"✅ STRONG",IF(AA126&gt;=40,"⚡ WARM",IF(AA126&gt;=20,"📋 NURTURE",IF(AA126&gt;0,"❌ COLD",""))))),"")</f>
        <v/>
      </c>
      <c r="AC126" s="31">
        <f>IFERROR(IF(AND(AA126&gt;=60,OR(W126="Yes",W126="Later")),"🚨 URGENT",IF(AND(AA126&gt;=40,I126="Call Back"),"📞 CALL BACK",IF(I126="Booked Meeting","📅 BOOKED",IF(I126="Not Interested","🚫 DEAD","⏳ WORKING")))),"")</f>
        <v/>
      </c>
      <c r="AD126" s="42" t="n"/>
      <c r="AE126" s="38" t="n"/>
      <c r="AF126" s="33">
        <f>IFERROR(IF(AE126="","",AE126-TODAY()),"")</f>
        <v/>
      </c>
      <c r="AG126" s="40" t="n"/>
    </row>
    <row r="127" ht="19.5" customHeight="1" s="105">
      <c r="A127" s="44" t="n"/>
      <c r="B127" s="23" t="n"/>
      <c r="C127" s="23" t="n"/>
      <c r="D127" s="23" t="n"/>
      <c r="E127" s="44" t="n"/>
      <c r="F127" s="44" t="n"/>
      <c r="G127" s="44" t="n"/>
      <c r="H127" s="23" t="n"/>
      <c r="I127" s="44" t="n"/>
      <c r="J127" s="44" t="n"/>
      <c r="K127" s="23" t="n"/>
      <c r="L127" s="44" t="n"/>
      <c r="M127" s="44" t="n"/>
      <c r="N127" s="44" t="n"/>
      <c r="O127" s="44" t="n"/>
      <c r="P127" s="44" t="n"/>
      <c r="Q127" s="44" t="n"/>
      <c r="R127" s="44" t="n"/>
      <c r="S127" s="44" t="n"/>
      <c r="T127" s="44" t="n"/>
      <c r="U127" s="44" t="n"/>
      <c r="V127" s="21">
        <f>IFERROR(ROUND((IF(Q127="Severe",4,IF(Q127="Moderate",3,IF(Q127="Minor",2,0)))+IF(R127="Severe",4,IF(R127="Moderate",3,IF(R127="Minor",2,0)))+IF(S127="Severe",4,IF(S127="Moderate",3,IF(S127="Minor",2,0)))+IF(T127="Severe",4,IF(T127="Moderate",3,IF(T127="Minor",2,0))))/16*100,0),"")</f>
        <v/>
      </c>
      <c r="W127" s="23" t="n"/>
      <c r="X127" s="44" t="n"/>
      <c r="Y127" s="44" t="n"/>
      <c r="Z127" s="44" t="n"/>
      <c r="AA127" s="22">
        <f>IFERROR(ROUND(IF(H127&gt;=10,30,IF(H127&gt;=5,20,IF(H127&gt;=2,10,0)))+IF(K127="Yes",20,IF(K127="Unsure",10,0))+IF(W127="Yes",30,IF(W127="Later",15,0))+IFERROR(V127/100*20,0)+IF(L127="Interested",15,IF(L127="Open But Busy",10,IF(L127="Neutral",5,0))),0),"")</f>
        <v/>
      </c>
      <c r="AB127" s="23">
        <f>IFERROR(IF(AA127&gt;=80,"🔥 HOT",IF(AA127&gt;=60,"✅ STRONG",IF(AA127&gt;=40,"⚡ WARM",IF(AA127&gt;=20,"📋 NURTURE",IF(AA127&gt;0,"❌ COLD",""))))),"")</f>
        <v/>
      </c>
      <c r="AC127" s="23">
        <f>IFERROR(IF(AND(AA127&gt;=60,OR(W127="Yes",W127="Later")),"🚨 URGENT",IF(AND(AA127&gt;=40,I127="Call Back"),"📞 CALL BACK",IF(I127="Booked Meeting","📅 BOOKED",IF(I127="Not Interested","🚫 DEAD","⏳ WORKING")))),"")</f>
        <v/>
      </c>
      <c r="AD127" s="45" t="n"/>
      <c r="AE127" s="37" t="n"/>
      <c r="AF127" s="25">
        <f>IFERROR(IF(AE127="","",AE127-TODAY()),"")</f>
        <v/>
      </c>
      <c r="AG127" s="44" t="n"/>
    </row>
    <row r="128" ht="19.5" customHeight="1" s="105">
      <c r="A128" s="40" t="n"/>
      <c r="B128" s="31" t="n"/>
      <c r="C128" s="31" t="n"/>
      <c r="D128" s="31" t="n"/>
      <c r="E128" s="40" t="n"/>
      <c r="F128" s="40" t="n"/>
      <c r="G128" s="40" t="n"/>
      <c r="H128" s="31" t="n"/>
      <c r="I128" s="40" t="n"/>
      <c r="J128" s="40" t="n"/>
      <c r="K128" s="31" t="n"/>
      <c r="L128" s="40" t="n"/>
      <c r="M128" s="40" t="n"/>
      <c r="N128" s="40" t="n"/>
      <c r="O128" s="40" t="n"/>
      <c r="P128" s="40" t="n"/>
      <c r="Q128" s="40" t="n"/>
      <c r="R128" s="40" t="n"/>
      <c r="S128" s="40" t="n"/>
      <c r="T128" s="40" t="n"/>
      <c r="U128" s="40" t="n"/>
      <c r="V128" s="29">
        <f>IFERROR(ROUND((IF(Q128="Severe",4,IF(Q128="Moderate",3,IF(Q128="Minor",2,0)))+IF(R128="Severe",4,IF(R128="Moderate",3,IF(R128="Minor",2,0)))+IF(S128="Severe",4,IF(S128="Moderate",3,IF(S128="Minor",2,0)))+IF(T128="Severe",4,IF(T128="Moderate",3,IF(T128="Minor",2,0))))/16*100,0),"")</f>
        <v/>
      </c>
      <c r="W128" s="31" t="n"/>
      <c r="X128" s="40" t="n"/>
      <c r="Y128" s="40" t="n"/>
      <c r="Z128" s="40" t="n"/>
      <c r="AA128" s="30">
        <f>IFERROR(ROUND(IF(H128&gt;=10,30,IF(H128&gt;=5,20,IF(H128&gt;=2,10,0)))+IF(K128="Yes",20,IF(K128="Unsure",10,0))+IF(W128="Yes",30,IF(W128="Later",15,0))+IFERROR(V128/100*20,0)+IF(L128="Interested",15,IF(L128="Open But Busy",10,IF(L128="Neutral",5,0))),0),"")</f>
        <v/>
      </c>
      <c r="AB128" s="31">
        <f>IFERROR(IF(AA128&gt;=80,"🔥 HOT",IF(AA128&gt;=60,"✅ STRONG",IF(AA128&gt;=40,"⚡ WARM",IF(AA128&gt;=20,"📋 NURTURE",IF(AA128&gt;0,"❌ COLD",""))))),"")</f>
        <v/>
      </c>
      <c r="AC128" s="31">
        <f>IFERROR(IF(AND(AA128&gt;=60,OR(W128="Yes",W128="Later")),"🚨 URGENT",IF(AND(AA128&gt;=40,I128="Call Back"),"📞 CALL BACK",IF(I128="Booked Meeting","📅 BOOKED",IF(I128="Not Interested","🚫 DEAD","⏳ WORKING")))),"")</f>
        <v/>
      </c>
      <c r="AD128" s="42" t="n"/>
      <c r="AE128" s="38" t="n"/>
      <c r="AF128" s="33">
        <f>IFERROR(IF(AE128="","",AE128-TODAY()),"")</f>
        <v/>
      </c>
      <c r="AG128" s="40" t="n"/>
    </row>
    <row r="129" ht="19.5" customHeight="1" s="105">
      <c r="A129" s="44" t="n"/>
      <c r="B129" s="23" t="n"/>
      <c r="C129" s="23" t="n"/>
      <c r="D129" s="23" t="n"/>
      <c r="E129" s="44" t="n"/>
      <c r="F129" s="44" t="n"/>
      <c r="G129" s="44" t="n"/>
      <c r="H129" s="23" t="n"/>
      <c r="I129" s="44" t="n"/>
      <c r="J129" s="44" t="n"/>
      <c r="K129" s="23" t="n"/>
      <c r="L129" s="44" t="n"/>
      <c r="M129" s="44" t="n"/>
      <c r="N129" s="44" t="n"/>
      <c r="O129" s="44" t="n"/>
      <c r="P129" s="44" t="n"/>
      <c r="Q129" s="44" t="n"/>
      <c r="R129" s="44" t="n"/>
      <c r="S129" s="44" t="n"/>
      <c r="T129" s="44" t="n"/>
      <c r="U129" s="44" t="n"/>
      <c r="V129" s="21">
        <f>IFERROR(ROUND((IF(Q129="Severe",4,IF(Q129="Moderate",3,IF(Q129="Minor",2,0)))+IF(R129="Severe",4,IF(R129="Moderate",3,IF(R129="Minor",2,0)))+IF(S129="Severe",4,IF(S129="Moderate",3,IF(S129="Minor",2,0)))+IF(T129="Severe",4,IF(T129="Moderate",3,IF(T129="Minor",2,0))))/16*100,0),"")</f>
        <v/>
      </c>
      <c r="W129" s="23" t="n"/>
      <c r="X129" s="44" t="n"/>
      <c r="Y129" s="44" t="n"/>
      <c r="Z129" s="44" t="n"/>
      <c r="AA129" s="22">
        <f>IFERROR(ROUND(IF(H129&gt;=10,30,IF(H129&gt;=5,20,IF(H129&gt;=2,10,0)))+IF(K129="Yes",20,IF(K129="Unsure",10,0))+IF(W129="Yes",30,IF(W129="Later",15,0))+IFERROR(V129/100*20,0)+IF(L129="Interested",15,IF(L129="Open But Busy",10,IF(L129="Neutral",5,0))),0),"")</f>
        <v/>
      </c>
      <c r="AB129" s="23">
        <f>IFERROR(IF(AA129&gt;=80,"🔥 HOT",IF(AA129&gt;=60,"✅ STRONG",IF(AA129&gt;=40,"⚡ WARM",IF(AA129&gt;=20,"📋 NURTURE",IF(AA129&gt;0,"❌ COLD",""))))),"")</f>
        <v/>
      </c>
      <c r="AC129" s="23">
        <f>IFERROR(IF(AND(AA129&gt;=60,OR(W129="Yes",W129="Later")),"🚨 URGENT",IF(AND(AA129&gt;=40,I129="Call Back"),"📞 CALL BACK",IF(I129="Booked Meeting","📅 BOOKED",IF(I129="Not Interested","🚫 DEAD","⏳ WORKING")))),"")</f>
        <v/>
      </c>
      <c r="AD129" s="45" t="n"/>
      <c r="AE129" s="37" t="n"/>
      <c r="AF129" s="25">
        <f>IFERROR(IF(AE129="","",AE129-TODAY()),"")</f>
        <v/>
      </c>
      <c r="AG129" s="44" t="n"/>
    </row>
    <row r="130" ht="19.5" customHeight="1" s="105">
      <c r="A130" s="40" t="n"/>
      <c r="B130" s="31" t="n"/>
      <c r="C130" s="31" t="n"/>
      <c r="D130" s="31" t="n"/>
      <c r="E130" s="40" t="n"/>
      <c r="F130" s="40" t="n"/>
      <c r="G130" s="40" t="n"/>
      <c r="H130" s="31" t="n"/>
      <c r="I130" s="40" t="n"/>
      <c r="J130" s="40" t="n"/>
      <c r="K130" s="31" t="n"/>
      <c r="L130" s="40" t="n"/>
      <c r="M130" s="40" t="n"/>
      <c r="N130" s="40" t="n"/>
      <c r="O130" s="40" t="n"/>
      <c r="P130" s="40" t="n"/>
      <c r="Q130" s="40" t="n"/>
      <c r="R130" s="40" t="n"/>
      <c r="S130" s="40" t="n"/>
      <c r="T130" s="40" t="n"/>
      <c r="U130" s="40" t="n"/>
      <c r="V130" s="29">
        <f>IFERROR(ROUND((IF(Q130="Severe",4,IF(Q130="Moderate",3,IF(Q130="Minor",2,0)))+IF(R130="Severe",4,IF(R130="Moderate",3,IF(R130="Minor",2,0)))+IF(S130="Severe",4,IF(S130="Moderate",3,IF(S130="Minor",2,0)))+IF(T130="Severe",4,IF(T130="Moderate",3,IF(T130="Minor",2,0))))/16*100,0),"")</f>
        <v/>
      </c>
      <c r="W130" s="31" t="n"/>
      <c r="X130" s="40" t="n"/>
      <c r="Y130" s="40" t="n"/>
      <c r="Z130" s="40" t="n"/>
      <c r="AA130" s="30">
        <f>IFERROR(ROUND(IF(H130&gt;=10,30,IF(H130&gt;=5,20,IF(H130&gt;=2,10,0)))+IF(K130="Yes",20,IF(K130="Unsure",10,0))+IF(W130="Yes",30,IF(W130="Later",15,0))+IFERROR(V130/100*20,0)+IF(L130="Interested",15,IF(L130="Open But Busy",10,IF(L130="Neutral",5,0))),0),"")</f>
        <v/>
      </c>
      <c r="AB130" s="31">
        <f>IFERROR(IF(AA130&gt;=80,"🔥 HOT",IF(AA130&gt;=60,"✅ STRONG",IF(AA130&gt;=40,"⚡ WARM",IF(AA130&gt;=20,"📋 NURTURE",IF(AA130&gt;0,"❌ COLD",""))))),"")</f>
        <v/>
      </c>
      <c r="AC130" s="31">
        <f>IFERROR(IF(AND(AA130&gt;=60,OR(W130="Yes",W130="Later")),"🚨 URGENT",IF(AND(AA130&gt;=40,I130="Call Back"),"📞 CALL BACK",IF(I130="Booked Meeting","📅 BOOKED",IF(I130="Not Interested","🚫 DEAD","⏳ WORKING")))),"")</f>
        <v/>
      </c>
      <c r="AD130" s="42" t="n"/>
      <c r="AE130" s="38" t="n"/>
      <c r="AF130" s="33">
        <f>IFERROR(IF(AE130="","",AE130-TODAY()),"")</f>
        <v/>
      </c>
      <c r="AG130" s="40" t="n"/>
    </row>
    <row r="131" ht="19.5" customHeight="1" s="105">
      <c r="A131" s="44" t="n"/>
      <c r="B131" s="23" t="n"/>
      <c r="C131" s="23" t="n"/>
      <c r="D131" s="23" t="n"/>
      <c r="E131" s="44" t="n"/>
      <c r="F131" s="44" t="n"/>
      <c r="G131" s="44" t="n"/>
      <c r="H131" s="23" t="n"/>
      <c r="I131" s="44" t="n"/>
      <c r="J131" s="44" t="n"/>
      <c r="K131" s="23" t="n"/>
      <c r="L131" s="44" t="n"/>
      <c r="M131" s="44" t="n"/>
      <c r="N131" s="44" t="n"/>
      <c r="O131" s="44" t="n"/>
      <c r="P131" s="44" t="n"/>
      <c r="Q131" s="44" t="n"/>
      <c r="R131" s="44" t="n"/>
      <c r="S131" s="44" t="n"/>
      <c r="T131" s="44" t="n"/>
      <c r="U131" s="44" t="n"/>
      <c r="V131" s="21">
        <f>IFERROR(ROUND((IF(Q131="Severe",4,IF(Q131="Moderate",3,IF(Q131="Minor",2,0)))+IF(R131="Severe",4,IF(R131="Moderate",3,IF(R131="Minor",2,0)))+IF(S131="Severe",4,IF(S131="Moderate",3,IF(S131="Minor",2,0)))+IF(T131="Severe",4,IF(T131="Moderate",3,IF(T131="Minor",2,0))))/16*100,0),"")</f>
        <v/>
      </c>
      <c r="W131" s="23" t="n"/>
      <c r="X131" s="44" t="n"/>
      <c r="Y131" s="44" t="n"/>
      <c r="Z131" s="44" t="n"/>
      <c r="AA131" s="22">
        <f>IFERROR(ROUND(IF(H131&gt;=10,30,IF(H131&gt;=5,20,IF(H131&gt;=2,10,0)))+IF(K131="Yes",20,IF(K131="Unsure",10,0))+IF(W131="Yes",30,IF(W131="Later",15,0))+IFERROR(V131/100*20,0)+IF(L131="Interested",15,IF(L131="Open But Busy",10,IF(L131="Neutral",5,0))),0),"")</f>
        <v/>
      </c>
      <c r="AB131" s="23">
        <f>IFERROR(IF(AA131&gt;=80,"🔥 HOT",IF(AA131&gt;=60,"✅ STRONG",IF(AA131&gt;=40,"⚡ WARM",IF(AA131&gt;=20,"📋 NURTURE",IF(AA131&gt;0,"❌ COLD",""))))),"")</f>
        <v/>
      </c>
      <c r="AC131" s="23">
        <f>IFERROR(IF(AND(AA131&gt;=60,OR(W131="Yes",W131="Later")),"🚨 URGENT",IF(AND(AA131&gt;=40,I131="Call Back"),"📞 CALL BACK",IF(I131="Booked Meeting","📅 BOOKED",IF(I131="Not Interested","🚫 DEAD","⏳ WORKING")))),"")</f>
        <v/>
      </c>
      <c r="AD131" s="45" t="n"/>
      <c r="AE131" s="37" t="n"/>
      <c r="AF131" s="25">
        <f>IFERROR(IF(AE131="","",AE131-TODAY()),"")</f>
        <v/>
      </c>
      <c r="AG131" s="44" t="n"/>
    </row>
    <row r="132" ht="19.5" customHeight="1" s="105">
      <c r="A132" s="40" t="n"/>
      <c r="B132" s="31" t="n"/>
      <c r="C132" s="31" t="n"/>
      <c r="D132" s="31" t="n"/>
      <c r="E132" s="40" t="n"/>
      <c r="F132" s="40" t="n"/>
      <c r="G132" s="40" t="n"/>
      <c r="H132" s="31" t="n"/>
      <c r="I132" s="40" t="n"/>
      <c r="J132" s="40" t="n"/>
      <c r="K132" s="31" t="n"/>
      <c r="L132" s="40" t="n"/>
      <c r="M132" s="40" t="n"/>
      <c r="N132" s="40" t="n"/>
      <c r="O132" s="40" t="n"/>
      <c r="P132" s="40" t="n"/>
      <c r="Q132" s="40" t="n"/>
      <c r="R132" s="40" t="n"/>
      <c r="S132" s="40" t="n"/>
      <c r="T132" s="40" t="n"/>
      <c r="U132" s="40" t="n"/>
      <c r="V132" s="29">
        <f>IFERROR(ROUND((IF(Q132="Severe",4,IF(Q132="Moderate",3,IF(Q132="Minor",2,0)))+IF(R132="Severe",4,IF(R132="Moderate",3,IF(R132="Minor",2,0)))+IF(S132="Severe",4,IF(S132="Moderate",3,IF(S132="Minor",2,0)))+IF(T132="Severe",4,IF(T132="Moderate",3,IF(T132="Minor",2,0))))/16*100,0),"")</f>
        <v/>
      </c>
      <c r="W132" s="31" t="n"/>
      <c r="X132" s="40" t="n"/>
      <c r="Y132" s="40" t="n"/>
      <c r="Z132" s="40" t="n"/>
      <c r="AA132" s="30">
        <f>IFERROR(ROUND(IF(H132&gt;=10,30,IF(H132&gt;=5,20,IF(H132&gt;=2,10,0)))+IF(K132="Yes",20,IF(K132="Unsure",10,0))+IF(W132="Yes",30,IF(W132="Later",15,0))+IFERROR(V132/100*20,0)+IF(L132="Interested",15,IF(L132="Open But Busy",10,IF(L132="Neutral",5,0))),0),"")</f>
        <v/>
      </c>
      <c r="AB132" s="31">
        <f>IFERROR(IF(AA132&gt;=80,"🔥 HOT",IF(AA132&gt;=60,"✅ STRONG",IF(AA132&gt;=40,"⚡ WARM",IF(AA132&gt;=20,"📋 NURTURE",IF(AA132&gt;0,"❌ COLD",""))))),"")</f>
        <v/>
      </c>
      <c r="AC132" s="31">
        <f>IFERROR(IF(AND(AA132&gt;=60,OR(W132="Yes",W132="Later")),"🚨 URGENT",IF(AND(AA132&gt;=40,I132="Call Back"),"📞 CALL BACK",IF(I132="Booked Meeting","📅 BOOKED",IF(I132="Not Interested","🚫 DEAD","⏳ WORKING")))),"")</f>
        <v/>
      </c>
      <c r="AD132" s="42" t="n"/>
      <c r="AE132" s="38" t="n"/>
      <c r="AF132" s="33">
        <f>IFERROR(IF(AE132="","",AE132-TODAY()),"")</f>
        <v/>
      </c>
      <c r="AG132" s="40" t="n"/>
    </row>
    <row r="133" ht="19.5" customHeight="1" s="105">
      <c r="A133" s="44" t="n"/>
      <c r="B133" s="23" t="n"/>
      <c r="C133" s="23" t="n"/>
      <c r="D133" s="23" t="n"/>
      <c r="E133" s="44" t="n"/>
      <c r="F133" s="44" t="n"/>
      <c r="G133" s="44" t="n"/>
      <c r="H133" s="23" t="n"/>
      <c r="I133" s="44" t="n"/>
      <c r="J133" s="44" t="n"/>
      <c r="K133" s="23" t="n"/>
      <c r="L133" s="44" t="n"/>
      <c r="M133" s="44" t="n"/>
      <c r="N133" s="44" t="n"/>
      <c r="O133" s="44" t="n"/>
      <c r="P133" s="44" t="n"/>
      <c r="Q133" s="44" t="n"/>
      <c r="R133" s="44" t="n"/>
      <c r="S133" s="44" t="n"/>
      <c r="T133" s="44" t="n"/>
      <c r="U133" s="44" t="n"/>
      <c r="V133" s="21">
        <f>IFERROR(ROUND((IF(Q133="Severe",4,IF(Q133="Moderate",3,IF(Q133="Minor",2,0)))+IF(R133="Severe",4,IF(R133="Moderate",3,IF(R133="Minor",2,0)))+IF(S133="Severe",4,IF(S133="Moderate",3,IF(S133="Minor",2,0)))+IF(T133="Severe",4,IF(T133="Moderate",3,IF(T133="Minor",2,0))))/16*100,0),"")</f>
        <v/>
      </c>
      <c r="W133" s="23" t="n"/>
      <c r="X133" s="44" t="n"/>
      <c r="Y133" s="44" t="n"/>
      <c r="Z133" s="44" t="n"/>
      <c r="AA133" s="22">
        <f>IFERROR(ROUND(IF(H133&gt;=10,30,IF(H133&gt;=5,20,IF(H133&gt;=2,10,0)))+IF(K133="Yes",20,IF(K133="Unsure",10,0))+IF(W133="Yes",30,IF(W133="Later",15,0))+IFERROR(V133/100*20,0)+IF(L133="Interested",15,IF(L133="Open But Busy",10,IF(L133="Neutral",5,0))),0),"")</f>
        <v/>
      </c>
      <c r="AB133" s="23">
        <f>IFERROR(IF(AA133&gt;=80,"🔥 HOT",IF(AA133&gt;=60,"✅ STRONG",IF(AA133&gt;=40,"⚡ WARM",IF(AA133&gt;=20,"📋 NURTURE",IF(AA133&gt;0,"❌ COLD",""))))),"")</f>
        <v/>
      </c>
      <c r="AC133" s="23">
        <f>IFERROR(IF(AND(AA133&gt;=60,OR(W133="Yes",W133="Later")),"🚨 URGENT",IF(AND(AA133&gt;=40,I133="Call Back"),"📞 CALL BACK",IF(I133="Booked Meeting","📅 BOOKED",IF(I133="Not Interested","🚫 DEAD","⏳ WORKING")))),"")</f>
        <v/>
      </c>
      <c r="AD133" s="45" t="n"/>
      <c r="AE133" s="37" t="n"/>
      <c r="AF133" s="25">
        <f>IFERROR(IF(AE133="","",AE133-TODAY()),"")</f>
        <v/>
      </c>
      <c r="AG133" s="44" t="n"/>
    </row>
    <row r="134" ht="19.5" customHeight="1" s="105">
      <c r="A134" s="40" t="n"/>
      <c r="B134" s="31" t="n"/>
      <c r="C134" s="31" t="n"/>
      <c r="D134" s="31" t="n"/>
      <c r="E134" s="40" t="n"/>
      <c r="F134" s="40" t="n"/>
      <c r="G134" s="40" t="n"/>
      <c r="H134" s="31" t="n"/>
      <c r="I134" s="40" t="n"/>
      <c r="J134" s="40" t="n"/>
      <c r="K134" s="31" t="n"/>
      <c r="L134" s="40" t="n"/>
      <c r="M134" s="40" t="n"/>
      <c r="N134" s="40" t="n"/>
      <c r="O134" s="40" t="n"/>
      <c r="P134" s="40" t="n"/>
      <c r="Q134" s="40" t="n"/>
      <c r="R134" s="40" t="n"/>
      <c r="S134" s="40" t="n"/>
      <c r="T134" s="40" t="n"/>
      <c r="U134" s="40" t="n"/>
      <c r="V134" s="29">
        <f>IFERROR(ROUND((IF(Q134="Severe",4,IF(Q134="Moderate",3,IF(Q134="Minor",2,0)))+IF(R134="Severe",4,IF(R134="Moderate",3,IF(R134="Minor",2,0)))+IF(S134="Severe",4,IF(S134="Moderate",3,IF(S134="Minor",2,0)))+IF(T134="Severe",4,IF(T134="Moderate",3,IF(T134="Minor",2,0))))/16*100,0),"")</f>
        <v/>
      </c>
      <c r="W134" s="31" t="n"/>
      <c r="X134" s="40" t="n"/>
      <c r="Y134" s="40" t="n"/>
      <c r="Z134" s="40" t="n"/>
      <c r="AA134" s="30">
        <f>IFERROR(ROUND(IF(H134&gt;=10,30,IF(H134&gt;=5,20,IF(H134&gt;=2,10,0)))+IF(K134="Yes",20,IF(K134="Unsure",10,0))+IF(W134="Yes",30,IF(W134="Later",15,0))+IFERROR(V134/100*20,0)+IF(L134="Interested",15,IF(L134="Open But Busy",10,IF(L134="Neutral",5,0))),0),"")</f>
        <v/>
      </c>
      <c r="AB134" s="31">
        <f>IFERROR(IF(AA134&gt;=80,"🔥 HOT",IF(AA134&gt;=60,"✅ STRONG",IF(AA134&gt;=40,"⚡ WARM",IF(AA134&gt;=20,"📋 NURTURE",IF(AA134&gt;0,"❌ COLD",""))))),"")</f>
        <v/>
      </c>
      <c r="AC134" s="31">
        <f>IFERROR(IF(AND(AA134&gt;=60,OR(W134="Yes",W134="Later")),"🚨 URGENT",IF(AND(AA134&gt;=40,I134="Call Back"),"📞 CALL BACK",IF(I134="Booked Meeting","📅 BOOKED",IF(I134="Not Interested","🚫 DEAD","⏳ WORKING")))),"")</f>
        <v/>
      </c>
      <c r="AD134" s="42" t="n"/>
      <c r="AE134" s="38" t="n"/>
      <c r="AF134" s="33">
        <f>IFERROR(IF(AE134="","",AE134-TODAY()),"")</f>
        <v/>
      </c>
      <c r="AG134" s="40" t="n"/>
    </row>
    <row r="135" ht="19.5" customHeight="1" s="105">
      <c r="A135" s="44" t="n"/>
      <c r="B135" s="23" t="n"/>
      <c r="C135" s="23" t="n"/>
      <c r="D135" s="23" t="n"/>
      <c r="E135" s="44" t="n"/>
      <c r="F135" s="44" t="n"/>
      <c r="G135" s="44" t="n"/>
      <c r="H135" s="23" t="n"/>
      <c r="I135" s="44" t="n"/>
      <c r="J135" s="44" t="n"/>
      <c r="K135" s="23" t="n"/>
      <c r="L135" s="44" t="n"/>
      <c r="M135" s="44" t="n"/>
      <c r="N135" s="44" t="n"/>
      <c r="O135" s="44" t="n"/>
      <c r="P135" s="44" t="n"/>
      <c r="Q135" s="44" t="n"/>
      <c r="R135" s="44" t="n"/>
      <c r="S135" s="44" t="n"/>
      <c r="T135" s="44" t="n"/>
      <c r="U135" s="44" t="n"/>
      <c r="V135" s="21">
        <f>IFERROR(ROUND((IF(Q135="Severe",4,IF(Q135="Moderate",3,IF(Q135="Minor",2,0)))+IF(R135="Severe",4,IF(R135="Moderate",3,IF(R135="Minor",2,0)))+IF(S135="Severe",4,IF(S135="Moderate",3,IF(S135="Minor",2,0)))+IF(T135="Severe",4,IF(T135="Moderate",3,IF(T135="Minor",2,0))))/16*100,0),"")</f>
        <v/>
      </c>
      <c r="W135" s="23" t="n"/>
      <c r="X135" s="44" t="n"/>
      <c r="Y135" s="44" t="n"/>
      <c r="Z135" s="44" t="n"/>
      <c r="AA135" s="22">
        <f>IFERROR(ROUND(IF(H135&gt;=10,30,IF(H135&gt;=5,20,IF(H135&gt;=2,10,0)))+IF(K135="Yes",20,IF(K135="Unsure",10,0))+IF(W135="Yes",30,IF(W135="Later",15,0))+IFERROR(V135/100*20,0)+IF(L135="Interested",15,IF(L135="Open But Busy",10,IF(L135="Neutral",5,0))),0),"")</f>
        <v/>
      </c>
      <c r="AB135" s="23">
        <f>IFERROR(IF(AA135&gt;=80,"🔥 HOT",IF(AA135&gt;=60,"✅ STRONG",IF(AA135&gt;=40,"⚡ WARM",IF(AA135&gt;=20,"📋 NURTURE",IF(AA135&gt;0,"❌ COLD",""))))),"")</f>
        <v/>
      </c>
      <c r="AC135" s="23">
        <f>IFERROR(IF(AND(AA135&gt;=60,OR(W135="Yes",W135="Later")),"🚨 URGENT",IF(AND(AA135&gt;=40,I135="Call Back"),"📞 CALL BACK",IF(I135="Booked Meeting","📅 BOOKED",IF(I135="Not Interested","🚫 DEAD","⏳ WORKING")))),"")</f>
        <v/>
      </c>
      <c r="AD135" s="45" t="n"/>
      <c r="AE135" s="37" t="n"/>
      <c r="AF135" s="25">
        <f>IFERROR(IF(AE135="","",AE135-TODAY()),"")</f>
        <v/>
      </c>
      <c r="AG135" s="44" t="n"/>
    </row>
    <row r="136" ht="19.5" customHeight="1" s="105">
      <c r="A136" s="40" t="n"/>
      <c r="B136" s="31" t="n"/>
      <c r="C136" s="31" t="n"/>
      <c r="D136" s="31" t="n"/>
      <c r="E136" s="40" t="n"/>
      <c r="F136" s="40" t="n"/>
      <c r="G136" s="40" t="n"/>
      <c r="H136" s="31" t="n"/>
      <c r="I136" s="40" t="n"/>
      <c r="J136" s="40" t="n"/>
      <c r="K136" s="31" t="n"/>
      <c r="L136" s="40" t="n"/>
      <c r="M136" s="40" t="n"/>
      <c r="N136" s="40" t="n"/>
      <c r="O136" s="40" t="n"/>
      <c r="P136" s="40" t="n"/>
      <c r="Q136" s="40" t="n"/>
      <c r="R136" s="40" t="n"/>
      <c r="S136" s="40" t="n"/>
      <c r="T136" s="40" t="n"/>
      <c r="U136" s="40" t="n"/>
      <c r="V136" s="29">
        <f>IFERROR(ROUND((IF(Q136="Severe",4,IF(Q136="Moderate",3,IF(Q136="Minor",2,0)))+IF(R136="Severe",4,IF(R136="Moderate",3,IF(R136="Minor",2,0)))+IF(S136="Severe",4,IF(S136="Moderate",3,IF(S136="Minor",2,0)))+IF(T136="Severe",4,IF(T136="Moderate",3,IF(T136="Minor",2,0))))/16*100,0),"")</f>
        <v/>
      </c>
      <c r="W136" s="31" t="n"/>
      <c r="X136" s="40" t="n"/>
      <c r="Y136" s="40" t="n"/>
      <c r="Z136" s="40" t="n"/>
      <c r="AA136" s="30">
        <f>IFERROR(ROUND(IF(H136&gt;=10,30,IF(H136&gt;=5,20,IF(H136&gt;=2,10,0)))+IF(K136="Yes",20,IF(K136="Unsure",10,0))+IF(W136="Yes",30,IF(W136="Later",15,0))+IFERROR(V136/100*20,0)+IF(L136="Interested",15,IF(L136="Open But Busy",10,IF(L136="Neutral",5,0))),0),"")</f>
        <v/>
      </c>
      <c r="AB136" s="31">
        <f>IFERROR(IF(AA136&gt;=80,"🔥 HOT",IF(AA136&gt;=60,"✅ STRONG",IF(AA136&gt;=40,"⚡ WARM",IF(AA136&gt;=20,"📋 NURTURE",IF(AA136&gt;0,"❌ COLD",""))))),"")</f>
        <v/>
      </c>
      <c r="AC136" s="31">
        <f>IFERROR(IF(AND(AA136&gt;=60,OR(W136="Yes",W136="Later")),"🚨 URGENT",IF(AND(AA136&gt;=40,I136="Call Back"),"📞 CALL BACK",IF(I136="Booked Meeting","📅 BOOKED",IF(I136="Not Interested","🚫 DEAD","⏳ WORKING")))),"")</f>
        <v/>
      </c>
      <c r="AD136" s="42" t="n"/>
      <c r="AE136" s="38" t="n"/>
      <c r="AF136" s="33">
        <f>IFERROR(IF(AE136="","",AE136-TODAY()),"")</f>
        <v/>
      </c>
      <c r="AG136" s="40" t="n"/>
    </row>
    <row r="137" ht="19.5" customHeight="1" s="105">
      <c r="A137" s="44" t="n"/>
      <c r="B137" s="23" t="n"/>
      <c r="C137" s="23" t="n"/>
      <c r="D137" s="23" t="n"/>
      <c r="E137" s="44" t="n"/>
      <c r="F137" s="44" t="n"/>
      <c r="G137" s="44" t="n"/>
      <c r="H137" s="23" t="n"/>
      <c r="I137" s="44" t="n"/>
      <c r="J137" s="44" t="n"/>
      <c r="K137" s="23" t="n"/>
      <c r="L137" s="44" t="n"/>
      <c r="M137" s="44" t="n"/>
      <c r="N137" s="44" t="n"/>
      <c r="O137" s="44" t="n"/>
      <c r="P137" s="44" t="n"/>
      <c r="Q137" s="44" t="n"/>
      <c r="R137" s="44" t="n"/>
      <c r="S137" s="44" t="n"/>
      <c r="T137" s="44" t="n"/>
      <c r="U137" s="44" t="n"/>
      <c r="V137" s="21">
        <f>IFERROR(ROUND((IF(Q137="Severe",4,IF(Q137="Moderate",3,IF(Q137="Minor",2,0)))+IF(R137="Severe",4,IF(R137="Moderate",3,IF(R137="Minor",2,0)))+IF(S137="Severe",4,IF(S137="Moderate",3,IF(S137="Minor",2,0)))+IF(T137="Severe",4,IF(T137="Moderate",3,IF(T137="Minor",2,0))))/16*100,0),"")</f>
        <v/>
      </c>
      <c r="W137" s="23" t="n"/>
      <c r="X137" s="44" t="n"/>
      <c r="Y137" s="44" t="n"/>
      <c r="Z137" s="44" t="n"/>
      <c r="AA137" s="22">
        <f>IFERROR(ROUND(IF(H137&gt;=10,30,IF(H137&gt;=5,20,IF(H137&gt;=2,10,0)))+IF(K137="Yes",20,IF(K137="Unsure",10,0))+IF(W137="Yes",30,IF(W137="Later",15,0))+IFERROR(V137/100*20,0)+IF(L137="Interested",15,IF(L137="Open But Busy",10,IF(L137="Neutral",5,0))),0),"")</f>
        <v/>
      </c>
      <c r="AB137" s="23">
        <f>IFERROR(IF(AA137&gt;=80,"🔥 HOT",IF(AA137&gt;=60,"✅ STRONG",IF(AA137&gt;=40,"⚡ WARM",IF(AA137&gt;=20,"📋 NURTURE",IF(AA137&gt;0,"❌ COLD",""))))),"")</f>
        <v/>
      </c>
      <c r="AC137" s="23">
        <f>IFERROR(IF(AND(AA137&gt;=60,OR(W137="Yes",W137="Later")),"🚨 URGENT",IF(AND(AA137&gt;=40,I137="Call Back"),"📞 CALL BACK",IF(I137="Booked Meeting","📅 BOOKED",IF(I137="Not Interested","🚫 DEAD","⏳ WORKING")))),"")</f>
        <v/>
      </c>
      <c r="AD137" s="45" t="n"/>
      <c r="AE137" s="37" t="n"/>
      <c r="AF137" s="25">
        <f>IFERROR(IF(AE137="","",AE137-TODAY()),"")</f>
        <v/>
      </c>
      <c r="AG137" s="44" t="n"/>
    </row>
    <row r="138" ht="19.5" customHeight="1" s="105">
      <c r="A138" s="40" t="n"/>
      <c r="B138" s="31" t="n"/>
      <c r="C138" s="31" t="n"/>
      <c r="D138" s="31" t="n"/>
      <c r="E138" s="40" t="n"/>
      <c r="F138" s="40" t="n"/>
      <c r="G138" s="40" t="n"/>
      <c r="H138" s="31" t="n"/>
      <c r="I138" s="40" t="n"/>
      <c r="J138" s="40" t="n"/>
      <c r="K138" s="31" t="n"/>
      <c r="L138" s="40" t="n"/>
      <c r="M138" s="40" t="n"/>
      <c r="N138" s="40" t="n"/>
      <c r="O138" s="40" t="n"/>
      <c r="P138" s="40" t="n"/>
      <c r="Q138" s="40" t="n"/>
      <c r="R138" s="40" t="n"/>
      <c r="S138" s="40" t="n"/>
      <c r="T138" s="40" t="n"/>
      <c r="U138" s="40" t="n"/>
      <c r="V138" s="29">
        <f>IFERROR(ROUND((IF(Q138="Severe",4,IF(Q138="Moderate",3,IF(Q138="Minor",2,0)))+IF(R138="Severe",4,IF(R138="Moderate",3,IF(R138="Minor",2,0)))+IF(S138="Severe",4,IF(S138="Moderate",3,IF(S138="Minor",2,0)))+IF(T138="Severe",4,IF(T138="Moderate",3,IF(T138="Minor",2,0))))/16*100,0),"")</f>
        <v/>
      </c>
      <c r="W138" s="31" t="n"/>
      <c r="X138" s="40" t="n"/>
      <c r="Y138" s="40" t="n"/>
      <c r="Z138" s="40" t="n"/>
      <c r="AA138" s="30">
        <f>IFERROR(ROUND(IF(H138&gt;=10,30,IF(H138&gt;=5,20,IF(H138&gt;=2,10,0)))+IF(K138="Yes",20,IF(K138="Unsure",10,0))+IF(W138="Yes",30,IF(W138="Later",15,0))+IFERROR(V138/100*20,0)+IF(L138="Interested",15,IF(L138="Open But Busy",10,IF(L138="Neutral",5,0))),0),"")</f>
        <v/>
      </c>
      <c r="AB138" s="31">
        <f>IFERROR(IF(AA138&gt;=80,"🔥 HOT",IF(AA138&gt;=60,"✅ STRONG",IF(AA138&gt;=40,"⚡ WARM",IF(AA138&gt;=20,"📋 NURTURE",IF(AA138&gt;0,"❌ COLD",""))))),"")</f>
        <v/>
      </c>
      <c r="AC138" s="31">
        <f>IFERROR(IF(AND(AA138&gt;=60,OR(W138="Yes",W138="Later")),"🚨 URGENT",IF(AND(AA138&gt;=40,I138="Call Back"),"📞 CALL BACK",IF(I138="Booked Meeting","📅 BOOKED",IF(I138="Not Interested","🚫 DEAD","⏳ WORKING")))),"")</f>
        <v/>
      </c>
      <c r="AD138" s="42" t="n"/>
      <c r="AE138" s="38" t="n"/>
      <c r="AF138" s="33">
        <f>IFERROR(IF(AE138="","",AE138-TODAY()),"")</f>
        <v/>
      </c>
      <c r="AG138" s="40" t="n"/>
    </row>
    <row r="139" ht="19.5" customHeight="1" s="105">
      <c r="A139" s="44" t="n"/>
      <c r="B139" s="23" t="n"/>
      <c r="C139" s="23" t="n"/>
      <c r="D139" s="23" t="n"/>
      <c r="E139" s="44" t="n"/>
      <c r="F139" s="44" t="n"/>
      <c r="G139" s="44" t="n"/>
      <c r="H139" s="23" t="n"/>
      <c r="I139" s="44" t="n"/>
      <c r="J139" s="44" t="n"/>
      <c r="K139" s="23" t="n"/>
      <c r="L139" s="44" t="n"/>
      <c r="M139" s="44" t="n"/>
      <c r="N139" s="44" t="n"/>
      <c r="O139" s="44" t="n"/>
      <c r="P139" s="44" t="n"/>
      <c r="Q139" s="44" t="n"/>
      <c r="R139" s="44" t="n"/>
      <c r="S139" s="44" t="n"/>
      <c r="T139" s="44" t="n"/>
      <c r="U139" s="44" t="n"/>
      <c r="V139" s="21">
        <f>IFERROR(ROUND((IF(Q139="Severe",4,IF(Q139="Moderate",3,IF(Q139="Minor",2,0)))+IF(R139="Severe",4,IF(R139="Moderate",3,IF(R139="Minor",2,0)))+IF(S139="Severe",4,IF(S139="Moderate",3,IF(S139="Minor",2,0)))+IF(T139="Severe",4,IF(T139="Moderate",3,IF(T139="Minor",2,0))))/16*100,0),"")</f>
        <v/>
      </c>
      <c r="W139" s="23" t="n"/>
      <c r="X139" s="44" t="n"/>
      <c r="Y139" s="44" t="n"/>
      <c r="Z139" s="44" t="n"/>
      <c r="AA139" s="22">
        <f>IFERROR(ROUND(IF(H139&gt;=10,30,IF(H139&gt;=5,20,IF(H139&gt;=2,10,0)))+IF(K139="Yes",20,IF(K139="Unsure",10,0))+IF(W139="Yes",30,IF(W139="Later",15,0))+IFERROR(V139/100*20,0)+IF(L139="Interested",15,IF(L139="Open But Busy",10,IF(L139="Neutral",5,0))),0),"")</f>
        <v/>
      </c>
      <c r="AB139" s="23">
        <f>IFERROR(IF(AA139&gt;=80,"🔥 HOT",IF(AA139&gt;=60,"✅ STRONG",IF(AA139&gt;=40,"⚡ WARM",IF(AA139&gt;=20,"📋 NURTURE",IF(AA139&gt;0,"❌ COLD",""))))),"")</f>
        <v/>
      </c>
      <c r="AC139" s="23">
        <f>IFERROR(IF(AND(AA139&gt;=60,OR(W139="Yes",W139="Later")),"🚨 URGENT",IF(AND(AA139&gt;=40,I139="Call Back"),"📞 CALL BACK",IF(I139="Booked Meeting","📅 BOOKED",IF(I139="Not Interested","🚫 DEAD","⏳ WORKING")))),"")</f>
        <v/>
      </c>
      <c r="AD139" s="45" t="n"/>
      <c r="AE139" s="37" t="n"/>
      <c r="AF139" s="25">
        <f>IFERROR(IF(AE139="","",AE139-TODAY()),"")</f>
        <v/>
      </c>
      <c r="AG139" s="44" t="n"/>
    </row>
    <row r="140" ht="19.5" customHeight="1" s="105">
      <c r="A140" s="40" t="n"/>
      <c r="B140" s="31" t="n"/>
      <c r="C140" s="31" t="n"/>
      <c r="D140" s="31" t="n"/>
      <c r="E140" s="40" t="n"/>
      <c r="F140" s="40" t="n"/>
      <c r="G140" s="40" t="n"/>
      <c r="H140" s="31" t="n"/>
      <c r="I140" s="40" t="n"/>
      <c r="J140" s="40" t="n"/>
      <c r="K140" s="31" t="n"/>
      <c r="L140" s="40" t="n"/>
      <c r="M140" s="40" t="n"/>
      <c r="N140" s="40" t="n"/>
      <c r="O140" s="40" t="n"/>
      <c r="P140" s="40" t="n"/>
      <c r="Q140" s="40" t="n"/>
      <c r="R140" s="40" t="n"/>
      <c r="S140" s="40" t="n"/>
      <c r="T140" s="40" t="n"/>
      <c r="U140" s="40" t="n"/>
      <c r="V140" s="29">
        <f>IFERROR(ROUND((IF(Q140="Severe",4,IF(Q140="Moderate",3,IF(Q140="Minor",2,0)))+IF(R140="Severe",4,IF(R140="Moderate",3,IF(R140="Minor",2,0)))+IF(S140="Severe",4,IF(S140="Moderate",3,IF(S140="Minor",2,0)))+IF(T140="Severe",4,IF(T140="Moderate",3,IF(T140="Minor",2,0))))/16*100,0),"")</f>
        <v/>
      </c>
      <c r="W140" s="31" t="n"/>
      <c r="X140" s="40" t="n"/>
      <c r="Y140" s="40" t="n"/>
      <c r="Z140" s="40" t="n"/>
      <c r="AA140" s="30">
        <f>IFERROR(ROUND(IF(H140&gt;=10,30,IF(H140&gt;=5,20,IF(H140&gt;=2,10,0)))+IF(K140="Yes",20,IF(K140="Unsure",10,0))+IF(W140="Yes",30,IF(W140="Later",15,0))+IFERROR(V140/100*20,0)+IF(L140="Interested",15,IF(L140="Open But Busy",10,IF(L140="Neutral",5,0))),0),"")</f>
        <v/>
      </c>
      <c r="AB140" s="31">
        <f>IFERROR(IF(AA140&gt;=80,"🔥 HOT",IF(AA140&gt;=60,"✅ STRONG",IF(AA140&gt;=40,"⚡ WARM",IF(AA140&gt;=20,"📋 NURTURE",IF(AA140&gt;0,"❌ COLD",""))))),"")</f>
        <v/>
      </c>
      <c r="AC140" s="31">
        <f>IFERROR(IF(AND(AA140&gt;=60,OR(W140="Yes",W140="Later")),"🚨 URGENT",IF(AND(AA140&gt;=40,I140="Call Back"),"📞 CALL BACK",IF(I140="Booked Meeting","📅 BOOKED",IF(I140="Not Interested","🚫 DEAD","⏳ WORKING")))),"")</f>
        <v/>
      </c>
      <c r="AD140" s="42" t="n"/>
      <c r="AE140" s="38" t="n"/>
      <c r="AF140" s="33">
        <f>IFERROR(IF(AE140="","",AE140-TODAY()),"")</f>
        <v/>
      </c>
      <c r="AG140" s="40" t="n"/>
    </row>
    <row r="141" ht="19.5" customHeight="1" s="105">
      <c r="A141" s="44" t="n"/>
      <c r="B141" s="23" t="n"/>
      <c r="C141" s="23" t="n"/>
      <c r="D141" s="23" t="n"/>
      <c r="E141" s="44" t="n"/>
      <c r="F141" s="44" t="n"/>
      <c r="G141" s="44" t="n"/>
      <c r="H141" s="23" t="n"/>
      <c r="I141" s="44" t="n"/>
      <c r="J141" s="44" t="n"/>
      <c r="K141" s="23" t="n"/>
      <c r="L141" s="44" t="n"/>
      <c r="M141" s="44" t="n"/>
      <c r="N141" s="44" t="n"/>
      <c r="O141" s="44" t="n"/>
      <c r="P141" s="44" t="n"/>
      <c r="Q141" s="44" t="n"/>
      <c r="R141" s="44" t="n"/>
      <c r="S141" s="44" t="n"/>
      <c r="T141" s="44" t="n"/>
      <c r="U141" s="44" t="n"/>
      <c r="V141" s="21">
        <f>IFERROR(ROUND((IF(Q141="Severe",4,IF(Q141="Moderate",3,IF(Q141="Minor",2,0)))+IF(R141="Severe",4,IF(R141="Moderate",3,IF(R141="Minor",2,0)))+IF(S141="Severe",4,IF(S141="Moderate",3,IF(S141="Minor",2,0)))+IF(T141="Severe",4,IF(T141="Moderate",3,IF(T141="Minor",2,0))))/16*100,0),"")</f>
        <v/>
      </c>
      <c r="W141" s="23" t="n"/>
      <c r="X141" s="44" t="n"/>
      <c r="Y141" s="44" t="n"/>
      <c r="Z141" s="44" t="n"/>
      <c r="AA141" s="22">
        <f>IFERROR(ROUND(IF(H141&gt;=10,30,IF(H141&gt;=5,20,IF(H141&gt;=2,10,0)))+IF(K141="Yes",20,IF(K141="Unsure",10,0))+IF(W141="Yes",30,IF(W141="Later",15,0))+IFERROR(V141/100*20,0)+IF(L141="Interested",15,IF(L141="Open But Busy",10,IF(L141="Neutral",5,0))),0),"")</f>
        <v/>
      </c>
      <c r="AB141" s="23">
        <f>IFERROR(IF(AA141&gt;=80,"🔥 HOT",IF(AA141&gt;=60,"✅ STRONG",IF(AA141&gt;=40,"⚡ WARM",IF(AA141&gt;=20,"📋 NURTURE",IF(AA141&gt;0,"❌ COLD",""))))),"")</f>
        <v/>
      </c>
      <c r="AC141" s="23">
        <f>IFERROR(IF(AND(AA141&gt;=60,OR(W141="Yes",W141="Later")),"🚨 URGENT",IF(AND(AA141&gt;=40,I141="Call Back"),"📞 CALL BACK",IF(I141="Booked Meeting","📅 BOOKED",IF(I141="Not Interested","🚫 DEAD","⏳ WORKING")))),"")</f>
        <v/>
      </c>
      <c r="AD141" s="45" t="n"/>
      <c r="AE141" s="37" t="n"/>
      <c r="AF141" s="25">
        <f>IFERROR(IF(AE141="","",AE141-TODAY()),"")</f>
        <v/>
      </c>
      <c r="AG141" s="44" t="n"/>
    </row>
    <row r="142" ht="19.5" customHeight="1" s="105">
      <c r="A142" s="40" t="n"/>
      <c r="B142" s="31" t="n"/>
      <c r="C142" s="31" t="n"/>
      <c r="D142" s="31" t="n"/>
      <c r="E142" s="40" t="n"/>
      <c r="F142" s="40" t="n"/>
      <c r="G142" s="40" t="n"/>
      <c r="H142" s="31" t="n"/>
      <c r="I142" s="40" t="n"/>
      <c r="J142" s="40" t="n"/>
      <c r="K142" s="31" t="n"/>
      <c r="L142" s="40" t="n"/>
      <c r="M142" s="40" t="n"/>
      <c r="N142" s="40" t="n"/>
      <c r="O142" s="40" t="n"/>
      <c r="P142" s="40" t="n"/>
      <c r="Q142" s="40" t="n"/>
      <c r="R142" s="40" t="n"/>
      <c r="S142" s="40" t="n"/>
      <c r="T142" s="40" t="n"/>
      <c r="U142" s="40" t="n"/>
      <c r="V142" s="29">
        <f>IFERROR(ROUND((IF(Q142="Severe",4,IF(Q142="Moderate",3,IF(Q142="Minor",2,0)))+IF(R142="Severe",4,IF(R142="Moderate",3,IF(R142="Minor",2,0)))+IF(S142="Severe",4,IF(S142="Moderate",3,IF(S142="Minor",2,0)))+IF(T142="Severe",4,IF(T142="Moderate",3,IF(T142="Minor",2,0))))/16*100,0),"")</f>
        <v/>
      </c>
      <c r="W142" s="31" t="n"/>
      <c r="X142" s="40" t="n"/>
      <c r="Y142" s="40" t="n"/>
      <c r="Z142" s="40" t="n"/>
      <c r="AA142" s="30">
        <f>IFERROR(ROUND(IF(H142&gt;=10,30,IF(H142&gt;=5,20,IF(H142&gt;=2,10,0)))+IF(K142="Yes",20,IF(K142="Unsure",10,0))+IF(W142="Yes",30,IF(W142="Later",15,0))+IFERROR(V142/100*20,0)+IF(L142="Interested",15,IF(L142="Open But Busy",10,IF(L142="Neutral",5,0))),0),"")</f>
        <v/>
      </c>
      <c r="AB142" s="31">
        <f>IFERROR(IF(AA142&gt;=80,"🔥 HOT",IF(AA142&gt;=60,"✅ STRONG",IF(AA142&gt;=40,"⚡ WARM",IF(AA142&gt;=20,"📋 NURTURE",IF(AA142&gt;0,"❌ COLD",""))))),"")</f>
        <v/>
      </c>
      <c r="AC142" s="31">
        <f>IFERROR(IF(AND(AA142&gt;=60,OR(W142="Yes",W142="Later")),"🚨 URGENT",IF(AND(AA142&gt;=40,I142="Call Back"),"📞 CALL BACK",IF(I142="Booked Meeting","📅 BOOKED",IF(I142="Not Interested","🚫 DEAD","⏳ WORKING")))),"")</f>
        <v/>
      </c>
      <c r="AD142" s="42" t="n"/>
      <c r="AE142" s="38" t="n"/>
      <c r="AF142" s="33">
        <f>IFERROR(IF(AE142="","",AE142-TODAY()),"")</f>
        <v/>
      </c>
      <c r="AG142" s="40" t="n"/>
    </row>
    <row r="143" ht="19.5" customHeight="1" s="105">
      <c r="A143" s="44" t="n"/>
      <c r="B143" s="23" t="n"/>
      <c r="C143" s="23" t="n"/>
      <c r="D143" s="23" t="n"/>
      <c r="E143" s="44" t="n"/>
      <c r="F143" s="44" t="n"/>
      <c r="G143" s="44" t="n"/>
      <c r="H143" s="23" t="n"/>
      <c r="I143" s="44" t="n"/>
      <c r="J143" s="44" t="n"/>
      <c r="K143" s="23" t="n"/>
      <c r="L143" s="44" t="n"/>
      <c r="M143" s="44" t="n"/>
      <c r="N143" s="44" t="n"/>
      <c r="O143" s="44" t="n"/>
      <c r="P143" s="44" t="n"/>
      <c r="Q143" s="44" t="n"/>
      <c r="R143" s="44" t="n"/>
      <c r="S143" s="44" t="n"/>
      <c r="T143" s="44" t="n"/>
      <c r="U143" s="44" t="n"/>
      <c r="V143" s="21">
        <f>IFERROR(ROUND((IF(Q143="Severe",4,IF(Q143="Moderate",3,IF(Q143="Minor",2,0)))+IF(R143="Severe",4,IF(R143="Moderate",3,IF(R143="Minor",2,0)))+IF(S143="Severe",4,IF(S143="Moderate",3,IF(S143="Minor",2,0)))+IF(T143="Severe",4,IF(T143="Moderate",3,IF(T143="Minor",2,0))))/16*100,0),"")</f>
        <v/>
      </c>
      <c r="W143" s="23" t="n"/>
      <c r="X143" s="44" t="n"/>
      <c r="Y143" s="44" t="n"/>
      <c r="Z143" s="44" t="n"/>
      <c r="AA143" s="22">
        <f>IFERROR(ROUND(IF(H143&gt;=10,30,IF(H143&gt;=5,20,IF(H143&gt;=2,10,0)))+IF(K143="Yes",20,IF(K143="Unsure",10,0))+IF(W143="Yes",30,IF(W143="Later",15,0))+IFERROR(V143/100*20,0)+IF(L143="Interested",15,IF(L143="Open But Busy",10,IF(L143="Neutral",5,0))),0),"")</f>
        <v/>
      </c>
      <c r="AB143" s="23">
        <f>IFERROR(IF(AA143&gt;=80,"🔥 HOT",IF(AA143&gt;=60,"✅ STRONG",IF(AA143&gt;=40,"⚡ WARM",IF(AA143&gt;=20,"📋 NURTURE",IF(AA143&gt;0,"❌ COLD",""))))),"")</f>
        <v/>
      </c>
      <c r="AC143" s="23">
        <f>IFERROR(IF(AND(AA143&gt;=60,OR(W143="Yes",W143="Later")),"🚨 URGENT",IF(AND(AA143&gt;=40,I143="Call Back"),"📞 CALL BACK",IF(I143="Booked Meeting","📅 BOOKED",IF(I143="Not Interested","🚫 DEAD","⏳ WORKING")))),"")</f>
        <v/>
      </c>
      <c r="AD143" s="45" t="n"/>
      <c r="AE143" s="37" t="n"/>
      <c r="AF143" s="25">
        <f>IFERROR(IF(AE143="","",AE143-TODAY()),"")</f>
        <v/>
      </c>
      <c r="AG143" s="44" t="n"/>
    </row>
    <row r="144" ht="19.5" customHeight="1" s="105">
      <c r="A144" s="40" t="n"/>
      <c r="B144" s="31" t="n"/>
      <c r="C144" s="31" t="n"/>
      <c r="D144" s="31" t="n"/>
      <c r="E144" s="40" t="n"/>
      <c r="F144" s="40" t="n"/>
      <c r="G144" s="40" t="n"/>
      <c r="H144" s="31" t="n"/>
      <c r="I144" s="40" t="n"/>
      <c r="J144" s="40" t="n"/>
      <c r="K144" s="31" t="n"/>
      <c r="L144" s="40" t="n"/>
      <c r="M144" s="40" t="n"/>
      <c r="N144" s="40" t="n"/>
      <c r="O144" s="40" t="n"/>
      <c r="P144" s="40" t="n"/>
      <c r="Q144" s="40" t="n"/>
      <c r="R144" s="40" t="n"/>
      <c r="S144" s="40" t="n"/>
      <c r="T144" s="40" t="n"/>
      <c r="U144" s="40" t="n"/>
      <c r="V144" s="29">
        <f>IFERROR(ROUND((IF(Q144="Severe",4,IF(Q144="Moderate",3,IF(Q144="Minor",2,0)))+IF(R144="Severe",4,IF(R144="Moderate",3,IF(R144="Minor",2,0)))+IF(S144="Severe",4,IF(S144="Moderate",3,IF(S144="Minor",2,0)))+IF(T144="Severe",4,IF(T144="Moderate",3,IF(T144="Minor",2,0))))/16*100,0),"")</f>
        <v/>
      </c>
      <c r="W144" s="31" t="n"/>
      <c r="X144" s="40" t="n"/>
      <c r="Y144" s="40" t="n"/>
      <c r="Z144" s="40" t="n"/>
      <c r="AA144" s="30">
        <f>IFERROR(ROUND(IF(H144&gt;=10,30,IF(H144&gt;=5,20,IF(H144&gt;=2,10,0)))+IF(K144="Yes",20,IF(K144="Unsure",10,0))+IF(W144="Yes",30,IF(W144="Later",15,0))+IFERROR(V144/100*20,0)+IF(L144="Interested",15,IF(L144="Open But Busy",10,IF(L144="Neutral",5,0))),0),"")</f>
        <v/>
      </c>
      <c r="AB144" s="31">
        <f>IFERROR(IF(AA144&gt;=80,"🔥 HOT",IF(AA144&gt;=60,"✅ STRONG",IF(AA144&gt;=40,"⚡ WARM",IF(AA144&gt;=20,"📋 NURTURE",IF(AA144&gt;0,"❌ COLD",""))))),"")</f>
        <v/>
      </c>
      <c r="AC144" s="31">
        <f>IFERROR(IF(AND(AA144&gt;=60,OR(W144="Yes",W144="Later")),"🚨 URGENT",IF(AND(AA144&gt;=40,I144="Call Back"),"📞 CALL BACK",IF(I144="Booked Meeting","📅 BOOKED",IF(I144="Not Interested","🚫 DEAD","⏳ WORKING")))),"")</f>
        <v/>
      </c>
      <c r="AD144" s="42" t="n"/>
      <c r="AE144" s="38" t="n"/>
      <c r="AF144" s="33">
        <f>IFERROR(IF(AE144="","",AE144-TODAY()),"")</f>
        <v/>
      </c>
      <c r="AG144" s="40" t="n"/>
    </row>
    <row r="145" ht="19.5" customHeight="1" s="105">
      <c r="A145" s="44" t="n"/>
      <c r="B145" s="23" t="n"/>
      <c r="C145" s="23" t="n"/>
      <c r="D145" s="23" t="n"/>
      <c r="E145" s="44" t="n"/>
      <c r="F145" s="44" t="n"/>
      <c r="G145" s="44" t="n"/>
      <c r="H145" s="23" t="n"/>
      <c r="I145" s="44" t="n"/>
      <c r="J145" s="44" t="n"/>
      <c r="K145" s="23" t="n"/>
      <c r="L145" s="44" t="n"/>
      <c r="M145" s="44" t="n"/>
      <c r="N145" s="44" t="n"/>
      <c r="O145" s="44" t="n"/>
      <c r="P145" s="44" t="n"/>
      <c r="Q145" s="44" t="n"/>
      <c r="R145" s="44" t="n"/>
      <c r="S145" s="44" t="n"/>
      <c r="T145" s="44" t="n"/>
      <c r="U145" s="44" t="n"/>
      <c r="V145" s="21">
        <f>IFERROR(ROUND((IF(Q145="Severe",4,IF(Q145="Moderate",3,IF(Q145="Minor",2,0)))+IF(R145="Severe",4,IF(R145="Moderate",3,IF(R145="Minor",2,0)))+IF(S145="Severe",4,IF(S145="Moderate",3,IF(S145="Minor",2,0)))+IF(T145="Severe",4,IF(T145="Moderate",3,IF(T145="Minor",2,0))))/16*100,0),"")</f>
        <v/>
      </c>
      <c r="W145" s="23" t="n"/>
      <c r="X145" s="44" t="n"/>
      <c r="Y145" s="44" t="n"/>
      <c r="Z145" s="44" t="n"/>
      <c r="AA145" s="22">
        <f>IFERROR(ROUND(IF(H145&gt;=10,30,IF(H145&gt;=5,20,IF(H145&gt;=2,10,0)))+IF(K145="Yes",20,IF(K145="Unsure",10,0))+IF(W145="Yes",30,IF(W145="Later",15,0))+IFERROR(V145/100*20,0)+IF(L145="Interested",15,IF(L145="Open But Busy",10,IF(L145="Neutral",5,0))),0),"")</f>
        <v/>
      </c>
      <c r="AB145" s="23">
        <f>IFERROR(IF(AA145&gt;=80,"🔥 HOT",IF(AA145&gt;=60,"✅ STRONG",IF(AA145&gt;=40,"⚡ WARM",IF(AA145&gt;=20,"📋 NURTURE",IF(AA145&gt;0,"❌ COLD",""))))),"")</f>
        <v/>
      </c>
      <c r="AC145" s="23">
        <f>IFERROR(IF(AND(AA145&gt;=60,OR(W145="Yes",W145="Later")),"🚨 URGENT",IF(AND(AA145&gt;=40,I145="Call Back"),"📞 CALL BACK",IF(I145="Booked Meeting","📅 BOOKED",IF(I145="Not Interested","🚫 DEAD","⏳ WORKING")))),"")</f>
        <v/>
      </c>
      <c r="AD145" s="45" t="n"/>
      <c r="AE145" s="37" t="n"/>
      <c r="AF145" s="25">
        <f>IFERROR(IF(AE145="","",AE145-TODAY()),"")</f>
        <v/>
      </c>
      <c r="AG145" s="44" t="n"/>
    </row>
    <row r="146" ht="19.5" customHeight="1" s="105">
      <c r="A146" s="40" t="n"/>
      <c r="B146" s="31" t="n"/>
      <c r="C146" s="31" t="n"/>
      <c r="D146" s="31" t="n"/>
      <c r="E146" s="40" t="n"/>
      <c r="F146" s="40" t="n"/>
      <c r="G146" s="40" t="n"/>
      <c r="H146" s="31" t="n"/>
      <c r="I146" s="40" t="n"/>
      <c r="J146" s="40" t="n"/>
      <c r="K146" s="31" t="n"/>
      <c r="L146" s="40" t="n"/>
      <c r="M146" s="40" t="n"/>
      <c r="N146" s="40" t="n"/>
      <c r="O146" s="40" t="n"/>
      <c r="P146" s="40" t="n"/>
      <c r="Q146" s="40" t="n"/>
      <c r="R146" s="40" t="n"/>
      <c r="S146" s="40" t="n"/>
      <c r="T146" s="40" t="n"/>
      <c r="U146" s="40" t="n"/>
      <c r="V146" s="29">
        <f>IFERROR(ROUND((IF(Q146="Severe",4,IF(Q146="Moderate",3,IF(Q146="Minor",2,0)))+IF(R146="Severe",4,IF(R146="Moderate",3,IF(R146="Minor",2,0)))+IF(S146="Severe",4,IF(S146="Moderate",3,IF(S146="Minor",2,0)))+IF(T146="Severe",4,IF(T146="Moderate",3,IF(T146="Minor",2,0))))/16*100,0),"")</f>
        <v/>
      </c>
      <c r="W146" s="31" t="n"/>
      <c r="X146" s="40" t="n"/>
      <c r="Y146" s="40" t="n"/>
      <c r="Z146" s="40" t="n"/>
      <c r="AA146" s="30">
        <f>IFERROR(ROUND(IF(H146&gt;=10,30,IF(H146&gt;=5,20,IF(H146&gt;=2,10,0)))+IF(K146="Yes",20,IF(K146="Unsure",10,0))+IF(W146="Yes",30,IF(W146="Later",15,0))+IFERROR(V146/100*20,0)+IF(L146="Interested",15,IF(L146="Open But Busy",10,IF(L146="Neutral",5,0))),0),"")</f>
        <v/>
      </c>
      <c r="AB146" s="31">
        <f>IFERROR(IF(AA146&gt;=80,"🔥 HOT",IF(AA146&gt;=60,"✅ STRONG",IF(AA146&gt;=40,"⚡ WARM",IF(AA146&gt;=20,"📋 NURTURE",IF(AA146&gt;0,"❌ COLD",""))))),"")</f>
        <v/>
      </c>
      <c r="AC146" s="31">
        <f>IFERROR(IF(AND(AA146&gt;=60,OR(W146="Yes",W146="Later")),"🚨 URGENT",IF(AND(AA146&gt;=40,I146="Call Back"),"📞 CALL BACK",IF(I146="Booked Meeting","📅 BOOKED",IF(I146="Not Interested","🚫 DEAD","⏳ WORKING")))),"")</f>
        <v/>
      </c>
      <c r="AD146" s="42" t="n"/>
      <c r="AE146" s="38" t="n"/>
      <c r="AF146" s="33">
        <f>IFERROR(IF(AE146="","",AE146-TODAY()),"")</f>
        <v/>
      </c>
      <c r="AG146" s="40" t="n"/>
    </row>
    <row r="147" ht="19.5" customHeight="1" s="105">
      <c r="A147" s="44" t="n"/>
      <c r="B147" s="23" t="n"/>
      <c r="C147" s="23" t="n"/>
      <c r="D147" s="23" t="n"/>
      <c r="E147" s="44" t="n"/>
      <c r="F147" s="44" t="n"/>
      <c r="G147" s="44" t="n"/>
      <c r="H147" s="23" t="n"/>
      <c r="I147" s="44" t="n"/>
      <c r="J147" s="44" t="n"/>
      <c r="K147" s="23" t="n"/>
      <c r="L147" s="44" t="n"/>
      <c r="M147" s="44" t="n"/>
      <c r="N147" s="44" t="n"/>
      <c r="O147" s="44" t="n"/>
      <c r="P147" s="44" t="n"/>
      <c r="Q147" s="44" t="n"/>
      <c r="R147" s="44" t="n"/>
      <c r="S147" s="44" t="n"/>
      <c r="T147" s="44" t="n"/>
      <c r="U147" s="44" t="n"/>
      <c r="V147" s="21">
        <f>IFERROR(ROUND((IF(Q147="Severe",4,IF(Q147="Moderate",3,IF(Q147="Minor",2,0)))+IF(R147="Severe",4,IF(R147="Moderate",3,IF(R147="Minor",2,0)))+IF(S147="Severe",4,IF(S147="Moderate",3,IF(S147="Minor",2,0)))+IF(T147="Severe",4,IF(T147="Moderate",3,IF(T147="Minor",2,0))))/16*100,0),"")</f>
        <v/>
      </c>
      <c r="W147" s="23" t="n"/>
      <c r="X147" s="44" t="n"/>
      <c r="Y147" s="44" t="n"/>
      <c r="Z147" s="44" t="n"/>
      <c r="AA147" s="22">
        <f>IFERROR(ROUND(IF(H147&gt;=10,30,IF(H147&gt;=5,20,IF(H147&gt;=2,10,0)))+IF(K147="Yes",20,IF(K147="Unsure",10,0))+IF(W147="Yes",30,IF(W147="Later",15,0))+IFERROR(V147/100*20,0)+IF(L147="Interested",15,IF(L147="Open But Busy",10,IF(L147="Neutral",5,0))),0),"")</f>
        <v/>
      </c>
      <c r="AB147" s="23">
        <f>IFERROR(IF(AA147&gt;=80,"🔥 HOT",IF(AA147&gt;=60,"✅ STRONG",IF(AA147&gt;=40,"⚡ WARM",IF(AA147&gt;=20,"📋 NURTURE",IF(AA147&gt;0,"❌ COLD",""))))),"")</f>
        <v/>
      </c>
      <c r="AC147" s="23">
        <f>IFERROR(IF(AND(AA147&gt;=60,OR(W147="Yes",W147="Later")),"🚨 URGENT",IF(AND(AA147&gt;=40,I147="Call Back"),"📞 CALL BACK",IF(I147="Booked Meeting","📅 BOOKED",IF(I147="Not Interested","🚫 DEAD","⏳ WORKING")))),"")</f>
        <v/>
      </c>
      <c r="AD147" s="45" t="n"/>
      <c r="AE147" s="37" t="n"/>
      <c r="AF147" s="25">
        <f>IFERROR(IF(AE147="","",AE147-TODAY()),"")</f>
        <v/>
      </c>
      <c r="AG147" s="44" t="n"/>
    </row>
    <row r="148" ht="19.5" customHeight="1" s="105">
      <c r="A148" s="40" t="n"/>
      <c r="B148" s="31" t="n"/>
      <c r="C148" s="31" t="n"/>
      <c r="D148" s="31" t="n"/>
      <c r="E148" s="40" t="n"/>
      <c r="F148" s="40" t="n"/>
      <c r="G148" s="40" t="n"/>
      <c r="H148" s="31" t="n"/>
      <c r="I148" s="40" t="n"/>
      <c r="J148" s="40" t="n"/>
      <c r="K148" s="31" t="n"/>
      <c r="L148" s="40" t="n"/>
      <c r="M148" s="40" t="n"/>
      <c r="N148" s="40" t="n"/>
      <c r="O148" s="40" t="n"/>
      <c r="P148" s="40" t="n"/>
      <c r="Q148" s="40" t="n"/>
      <c r="R148" s="40" t="n"/>
      <c r="S148" s="40" t="n"/>
      <c r="T148" s="40" t="n"/>
      <c r="U148" s="40" t="n"/>
      <c r="V148" s="29">
        <f>IFERROR(ROUND((IF(Q148="Severe",4,IF(Q148="Moderate",3,IF(Q148="Minor",2,0)))+IF(R148="Severe",4,IF(R148="Moderate",3,IF(R148="Minor",2,0)))+IF(S148="Severe",4,IF(S148="Moderate",3,IF(S148="Minor",2,0)))+IF(T148="Severe",4,IF(T148="Moderate",3,IF(T148="Minor",2,0))))/16*100,0),"")</f>
        <v/>
      </c>
      <c r="W148" s="31" t="n"/>
      <c r="X148" s="40" t="n"/>
      <c r="Y148" s="40" t="n"/>
      <c r="Z148" s="40" t="n"/>
      <c r="AA148" s="30">
        <f>IFERROR(ROUND(IF(H148&gt;=10,30,IF(H148&gt;=5,20,IF(H148&gt;=2,10,0)))+IF(K148="Yes",20,IF(K148="Unsure",10,0))+IF(W148="Yes",30,IF(W148="Later",15,0))+IFERROR(V148/100*20,0)+IF(L148="Interested",15,IF(L148="Open But Busy",10,IF(L148="Neutral",5,0))),0),"")</f>
        <v/>
      </c>
      <c r="AB148" s="31">
        <f>IFERROR(IF(AA148&gt;=80,"🔥 HOT",IF(AA148&gt;=60,"✅ STRONG",IF(AA148&gt;=40,"⚡ WARM",IF(AA148&gt;=20,"📋 NURTURE",IF(AA148&gt;0,"❌ COLD",""))))),"")</f>
        <v/>
      </c>
      <c r="AC148" s="31">
        <f>IFERROR(IF(AND(AA148&gt;=60,OR(W148="Yes",W148="Later")),"🚨 URGENT",IF(AND(AA148&gt;=40,I148="Call Back"),"📞 CALL BACK",IF(I148="Booked Meeting","📅 BOOKED",IF(I148="Not Interested","🚫 DEAD","⏳ WORKING")))),"")</f>
        <v/>
      </c>
      <c r="AD148" s="42" t="n"/>
      <c r="AE148" s="38" t="n"/>
      <c r="AF148" s="33">
        <f>IFERROR(IF(AE148="","",AE148-TODAY()),"")</f>
        <v/>
      </c>
      <c r="AG148" s="40" t="n"/>
    </row>
    <row r="149" ht="19.5" customHeight="1" s="105">
      <c r="A149" s="44" t="n"/>
      <c r="B149" s="23" t="n"/>
      <c r="C149" s="23" t="n"/>
      <c r="D149" s="23" t="n"/>
      <c r="E149" s="44" t="n"/>
      <c r="F149" s="44" t="n"/>
      <c r="G149" s="44" t="n"/>
      <c r="H149" s="23" t="n"/>
      <c r="I149" s="44" t="n"/>
      <c r="J149" s="44" t="n"/>
      <c r="K149" s="23" t="n"/>
      <c r="L149" s="44" t="n"/>
      <c r="M149" s="44" t="n"/>
      <c r="N149" s="44" t="n"/>
      <c r="O149" s="44" t="n"/>
      <c r="P149" s="44" t="n"/>
      <c r="Q149" s="44" t="n"/>
      <c r="R149" s="44" t="n"/>
      <c r="S149" s="44" t="n"/>
      <c r="T149" s="44" t="n"/>
      <c r="U149" s="44" t="n"/>
      <c r="V149" s="21">
        <f>IFERROR(ROUND((IF(Q149="Severe",4,IF(Q149="Moderate",3,IF(Q149="Minor",2,0)))+IF(R149="Severe",4,IF(R149="Moderate",3,IF(R149="Minor",2,0)))+IF(S149="Severe",4,IF(S149="Moderate",3,IF(S149="Minor",2,0)))+IF(T149="Severe",4,IF(T149="Moderate",3,IF(T149="Minor",2,0))))/16*100,0),"")</f>
        <v/>
      </c>
      <c r="W149" s="23" t="n"/>
      <c r="X149" s="44" t="n"/>
      <c r="Y149" s="44" t="n"/>
      <c r="Z149" s="44" t="n"/>
      <c r="AA149" s="22">
        <f>IFERROR(ROUND(IF(H149&gt;=10,30,IF(H149&gt;=5,20,IF(H149&gt;=2,10,0)))+IF(K149="Yes",20,IF(K149="Unsure",10,0))+IF(W149="Yes",30,IF(W149="Later",15,0))+IFERROR(V149/100*20,0)+IF(L149="Interested",15,IF(L149="Open But Busy",10,IF(L149="Neutral",5,0))),0),"")</f>
        <v/>
      </c>
      <c r="AB149" s="23">
        <f>IFERROR(IF(AA149&gt;=80,"🔥 HOT",IF(AA149&gt;=60,"✅ STRONG",IF(AA149&gt;=40,"⚡ WARM",IF(AA149&gt;=20,"📋 NURTURE",IF(AA149&gt;0,"❌ COLD",""))))),"")</f>
        <v/>
      </c>
      <c r="AC149" s="23">
        <f>IFERROR(IF(AND(AA149&gt;=60,OR(W149="Yes",W149="Later")),"🚨 URGENT",IF(AND(AA149&gt;=40,I149="Call Back"),"📞 CALL BACK",IF(I149="Booked Meeting","📅 BOOKED",IF(I149="Not Interested","🚫 DEAD","⏳ WORKING")))),"")</f>
        <v/>
      </c>
      <c r="AD149" s="45" t="n"/>
      <c r="AE149" s="37" t="n"/>
      <c r="AF149" s="25">
        <f>IFERROR(IF(AE149="","",AE149-TODAY()),"")</f>
        <v/>
      </c>
      <c r="AG149" s="44" t="n"/>
    </row>
    <row r="150" ht="19.5" customHeight="1" s="105">
      <c r="A150" s="40" t="n"/>
      <c r="B150" s="31" t="n"/>
      <c r="C150" s="31" t="n"/>
      <c r="D150" s="31" t="n"/>
      <c r="E150" s="40" t="n"/>
      <c r="F150" s="40" t="n"/>
      <c r="G150" s="40" t="n"/>
      <c r="H150" s="31" t="n"/>
      <c r="I150" s="40" t="n"/>
      <c r="J150" s="40" t="n"/>
      <c r="K150" s="31" t="n"/>
      <c r="L150" s="40" t="n"/>
      <c r="M150" s="40" t="n"/>
      <c r="N150" s="40" t="n"/>
      <c r="O150" s="40" t="n"/>
      <c r="P150" s="40" t="n"/>
      <c r="Q150" s="40" t="n"/>
      <c r="R150" s="40" t="n"/>
      <c r="S150" s="40" t="n"/>
      <c r="T150" s="40" t="n"/>
      <c r="U150" s="40" t="n"/>
      <c r="V150" s="29">
        <f>IFERROR(ROUND((IF(Q150="Severe",4,IF(Q150="Moderate",3,IF(Q150="Minor",2,0)))+IF(R150="Severe",4,IF(R150="Moderate",3,IF(R150="Minor",2,0)))+IF(S150="Severe",4,IF(S150="Moderate",3,IF(S150="Minor",2,0)))+IF(T150="Severe",4,IF(T150="Moderate",3,IF(T150="Minor",2,0))))/16*100,0),"")</f>
        <v/>
      </c>
      <c r="W150" s="31" t="n"/>
      <c r="X150" s="40" t="n"/>
      <c r="Y150" s="40" t="n"/>
      <c r="Z150" s="40" t="n"/>
      <c r="AA150" s="30">
        <f>IFERROR(ROUND(IF(H150&gt;=10,30,IF(H150&gt;=5,20,IF(H150&gt;=2,10,0)))+IF(K150="Yes",20,IF(K150="Unsure",10,0))+IF(W150="Yes",30,IF(W150="Later",15,0))+IFERROR(V150/100*20,0)+IF(L150="Interested",15,IF(L150="Open But Busy",10,IF(L150="Neutral",5,0))),0),"")</f>
        <v/>
      </c>
      <c r="AB150" s="31">
        <f>IFERROR(IF(AA150&gt;=80,"🔥 HOT",IF(AA150&gt;=60,"✅ STRONG",IF(AA150&gt;=40,"⚡ WARM",IF(AA150&gt;=20,"📋 NURTURE",IF(AA150&gt;0,"❌ COLD",""))))),"")</f>
        <v/>
      </c>
      <c r="AC150" s="31">
        <f>IFERROR(IF(AND(AA150&gt;=60,OR(W150="Yes",W150="Later")),"🚨 URGENT",IF(AND(AA150&gt;=40,I150="Call Back"),"📞 CALL BACK",IF(I150="Booked Meeting","📅 BOOKED",IF(I150="Not Interested","🚫 DEAD","⏳ WORKING")))),"")</f>
        <v/>
      </c>
      <c r="AD150" s="42" t="n"/>
      <c r="AE150" s="38" t="n"/>
      <c r="AF150" s="33">
        <f>IFERROR(IF(AE150="","",AE150-TODAY()),"")</f>
        <v/>
      </c>
      <c r="AG150" s="40" t="n"/>
    </row>
    <row r="151" ht="19.5" customHeight="1" s="105">
      <c r="A151" s="44" t="n"/>
      <c r="B151" s="23" t="n"/>
      <c r="C151" s="23" t="n"/>
      <c r="D151" s="23" t="n"/>
      <c r="E151" s="44" t="n"/>
      <c r="F151" s="44" t="n"/>
      <c r="G151" s="44" t="n"/>
      <c r="H151" s="23" t="n"/>
      <c r="I151" s="44" t="n"/>
      <c r="J151" s="44" t="n"/>
      <c r="K151" s="23" t="n"/>
      <c r="L151" s="44" t="n"/>
      <c r="M151" s="44" t="n"/>
      <c r="N151" s="44" t="n"/>
      <c r="O151" s="44" t="n"/>
      <c r="P151" s="44" t="n"/>
      <c r="Q151" s="44" t="n"/>
      <c r="R151" s="44" t="n"/>
      <c r="S151" s="44" t="n"/>
      <c r="T151" s="44" t="n"/>
      <c r="U151" s="44" t="n"/>
      <c r="V151" s="21">
        <f>IFERROR(ROUND((IF(Q151="Severe",4,IF(Q151="Moderate",3,IF(Q151="Minor",2,0)))+IF(R151="Severe",4,IF(R151="Moderate",3,IF(R151="Minor",2,0)))+IF(S151="Severe",4,IF(S151="Moderate",3,IF(S151="Minor",2,0)))+IF(T151="Severe",4,IF(T151="Moderate",3,IF(T151="Minor",2,0))))/16*100,0),"")</f>
        <v/>
      </c>
      <c r="W151" s="23" t="n"/>
      <c r="X151" s="44" t="n"/>
      <c r="Y151" s="44" t="n"/>
      <c r="Z151" s="44" t="n"/>
      <c r="AA151" s="22">
        <f>IFERROR(ROUND(IF(H151&gt;=10,30,IF(H151&gt;=5,20,IF(H151&gt;=2,10,0)))+IF(K151="Yes",20,IF(K151="Unsure",10,0))+IF(W151="Yes",30,IF(W151="Later",15,0))+IFERROR(V151/100*20,0)+IF(L151="Interested",15,IF(L151="Open But Busy",10,IF(L151="Neutral",5,0))),0),"")</f>
        <v/>
      </c>
      <c r="AB151" s="23">
        <f>IFERROR(IF(AA151&gt;=80,"🔥 HOT",IF(AA151&gt;=60,"✅ STRONG",IF(AA151&gt;=40,"⚡ WARM",IF(AA151&gt;=20,"📋 NURTURE",IF(AA151&gt;0,"❌ COLD",""))))),"")</f>
        <v/>
      </c>
      <c r="AC151" s="23">
        <f>IFERROR(IF(AND(AA151&gt;=60,OR(W151="Yes",W151="Later")),"🚨 URGENT",IF(AND(AA151&gt;=40,I151="Call Back"),"📞 CALL BACK",IF(I151="Booked Meeting","📅 BOOKED",IF(I151="Not Interested","🚫 DEAD","⏳ WORKING")))),"")</f>
        <v/>
      </c>
      <c r="AD151" s="45" t="n"/>
      <c r="AE151" s="37" t="n"/>
      <c r="AF151" s="25">
        <f>IFERROR(IF(AE151="","",AE151-TODAY()),"")</f>
        <v/>
      </c>
      <c r="AG151" s="44" t="n"/>
    </row>
    <row r="152" ht="19.5" customHeight="1" s="105">
      <c r="A152" s="40" t="n"/>
      <c r="B152" s="31" t="n"/>
      <c r="C152" s="31" t="n"/>
      <c r="D152" s="31" t="n"/>
      <c r="E152" s="40" t="n"/>
      <c r="F152" s="40" t="n"/>
      <c r="G152" s="40" t="n"/>
      <c r="H152" s="31" t="n"/>
      <c r="I152" s="40" t="n"/>
      <c r="J152" s="40" t="n"/>
      <c r="K152" s="31" t="n"/>
      <c r="L152" s="40" t="n"/>
      <c r="M152" s="40" t="n"/>
      <c r="N152" s="40" t="n"/>
      <c r="O152" s="40" t="n"/>
      <c r="P152" s="40" t="n"/>
      <c r="Q152" s="40" t="n"/>
      <c r="R152" s="40" t="n"/>
      <c r="S152" s="40" t="n"/>
      <c r="T152" s="40" t="n"/>
      <c r="U152" s="40" t="n"/>
      <c r="V152" s="29">
        <f>IFERROR(ROUND((IF(Q152="Severe",4,IF(Q152="Moderate",3,IF(Q152="Minor",2,0)))+IF(R152="Severe",4,IF(R152="Moderate",3,IF(R152="Minor",2,0)))+IF(S152="Severe",4,IF(S152="Moderate",3,IF(S152="Minor",2,0)))+IF(T152="Severe",4,IF(T152="Moderate",3,IF(T152="Minor",2,0))))/16*100,0),"")</f>
        <v/>
      </c>
      <c r="W152" s="31" t="n"/>
      <c r="X152" s="40" t="n"/>
      <c r="Y152" s="40" t="n"/>
      <c r="Z152" s="40" t="n"/>
      <c r="AA152" s="30">
        <f>IFERROR(ROUND(IF(H152&gt;=10,30,IF(H152&gt;=5,20,IF(H152&gt;=2,10,0)))+IF(K152="Yes",20,IF(K152="Unsure",10,0))+IF(W152="Yes",30,IF(W152="Later",15,0))+IFERROR(V152/100*20,0)+IF(L152="Interested",15,IF(L152="Open But Busy",10,IF(L152="Neutral",5,0))),0),"")</f>
        <v/>
      </c>
      <c r="AB152" s="31">
        <f>IFERROR(IF(AA152&gt;=80,"🔥 HOT",IF(AA152&gt;=60,"✅ STRONG",IF(AA152&gt;=40,"⚡ WARM",IF(AA152&gt;=20,"📋 NURTURE",IF(AA152&gt;0,"❌ COLD",""))))),"")</f>
        <v/>
      </c>
      <c r="AC152" s="31">
        <f>IFERROR(IF(AND(AA152&gt;=60,OR(W152="Yes",W152="Later")),"🚨 URGENT",IF(AND(AA152&gt;=40,I152="Call Back"),"📞 CALL BACK",IF(I152="Booked Meeting","📅 BOOKED",IF(I152="Not Interested","🚫 DEAD","⏳ WORKING")))),"")</f>
        <v/>
      </c>
      <c r="AD152" s="42" t="n"/>
      <c r="AE152" s="38" t="n"/>
      <c r="AF152" s="33">
        <f>IFERROR(IF(AE152="","",AE152-TODAY()),"")</f>
        <v/>
      </c>
      <c r="AG152" s="40" t="n"/>
    </row>
    <row r="153" ht="19.5" customHeight="1" s="105">
      <c r="A153" s="44" t="n"/>
      <c r="B153" s="23" t="n"/>
      <c r="C153" s="23" t="n"/>
      <c r="D153" s="23" t="n"/>
      <c r="E153" s="44" t="n"/>
      <c r="F153" s="44" t="n"/>
      <c r="G153" s="44" t="n"/>
      <c r="H153" s="23" t="n"/>
      <c r="I153" s="44" t="n"/>
      <c r="J153" s="44" t="n"/>
      <c r="K153" s="23" t="n"/>
      <c r="L153" s="44" t="n"/>
      <c r="M153" s="44" t="n"/>
      <c r="N153" s="44" t="n"/>
      <c r="O153" s="44" t="n"/>
      <c r="P153" s="44" t="n"/>
      <c r="Q153" s="44" t="n"/>
      <c r="R153" s="44" t="n"/>
      <c r="S153" s="44" t="n"/>
      <c r="T153" s="44" t="n"/>
      <c r="U153" s="44" t="n"/>
      <c r="V153" s="21">
        <f>IFERROR(ROUND((IF(Q153="Severe",4,IF(Q153="Moderate",3,IF(Q153="Minor",2,0)))+IF(R153="Severe",4,IF(R153="Moderate",3,IF(R153="Minor",2,0)))+IF(S153="Severe",4,IF(S153="Moderate",3,IF(S153="Minor",2,0)))+IF(T153="Severe",4,IF(T153="Moderate",3,IF(T153="Minor",2,0))))/16*100,0),"")</f>
        <v/>
      </c>
      <c r="W153" s="23" t="n"/>
      <c r="X153" s="44" t="n"/>
      <c r="Y153" s="44" t="n"/>
      <c r="Z153" s="44" t="n"/>
      <c r="AA153" s="22">
        <f>IFERROR(ROUND(IF(H153&gt;=10,30,IF(H153&gt;=5,20,IF(H153&gt;=2,10,0)))+IF(K153="Yes",20,IF(K153="Unsure",10,0))+IF(W153="Yes",30,IF(W153="Later",15,0))+IFERROR(V153/100*20,0)+IF(L153="Interested",15,IF(L153="Open But Busy",10,IF(L153="Neutral",5,0))),0),"")</f>
        <v/>
      </c>
      <c r="AB153" s="23">
        <f>IFERROR(IF(AA153&gt;=80,"🔥 HOT",IF(AA153&gt;=60,"✅ STRONG",IF(AA153&gt;=40,"⚡ WARM",IF(AA153&gt;=20,"📋 NURTURE",IF(AA153&gt;0,"❌ COLD",""))))),"")</f>
        <v/>
      </c>
      <c r="AC153" s="23">
        <f>IFERROR(IF(AND(AA153&gt;=60,OR(W153="Yes",W153="Later")),"🚨 URGENT",IF(AND(AA153&gt;=40,I153="Call Back"),"📞 CALL BACK",IF(I153="Booked Meeting","📅 BOOKED",IF(I153="Not Interested","🚫 DEAD","⏳ WORKING")))),"")</f>
        <v/>
      </c>
      <c r="AD153" s="45" t="n"/>
      <c r="AE153" s="37" t="n"/>
      <c r="AF153" s="25">
        <f>IFERROR(IF(AE153="","",AE153-TODAY()),"")</f>
        <v/>
      </c>
      <c r="AG153" s="44" t="n"/>
    </row>
    <row r="154" ht="19.5" customHeight="1" s="105">
      <c r="A154" s="40" t="n"/>
      <c r="B154" s="31" t="n"/>
      <c r="C154" s="31" t="n"/>
      <c r="D154" s="31" t="n"/>
      <c r="E154" s="40" t="n"/>
      <c r="F154" s="40" t="n"/>
      <c r="G154" s="40" t="n"/>
      <c r="H154" s="31" t="n"/>
      <c r="I154" s="40" t="n"/>
      <c r="J154" s="40" t="n"/>
      <c r="K154" s="31" t="n"/>
      <c r="L154" s="40" t="n"/>
      <c r="M154" s="40" t="n"/>
      <c r="N154" s="40" t="n"/>
      <c r="O154" s="40" t="n"/>
      <c r="P154" s="40" t="n"/>
      <c r="Q154" s="40" t="n"/>
      <c r="R154" s="40" t="n"/>
      <c r="S154" s="40" t="n"/>
      <c r="T154" s="40" t="n"/>
      <c r="U154" s="40" t="n"/>
      <c r="V154" s="29">
        <f>IFERROR(ROUND((IF(Q154="Severe",4,IF(Q154="Moderate",3,IF(Q154="Minor",2,0)))+IF(R154="Severe",4,IF(R154="Moderate",3,IF(R154="Minor",2,0)))+IF(S154="Severe",4,IF(S154="Moderate",3,IF(S154="Minor",2,0)))+IF(T154="Severe",4,IF(T154="Moderate",3,IF(T154="Minor",2,0))))/16*100,0),"")</f>
        <v/>
      </c>
      <c r="W154" s="31" t="n"/>
      <c r="X154" s="40" t="n"/>
      <c r="Y154" s="40" t="n"/>
      <c r="Z154" s="40" t="n"/>
      <c r="AA154" s="30">
        <f>IFERROR(ROUND(IF(H154&gt;=10,30,IF(H154&gt;=5,20,IF(H154&gt;=2,10,0)))+IF(K154="Yes",20,IF(K154="Unsure",10,0))+IF(W154="Yes",30,IF(W154="Later",15,0))+IFERROR(V154/100*20,0)+IF(L154="Interested",15,IF(L154="Open But Busy",10,IF(L154="Neutral",5,0))),0),"")</f>
        <v/>
      </c>
      <c r="AB154" s="31">
        <f>IFERROR(IF(AA154&gt;=80,"🔥 HOT",IF(AA154&gt;=60,"✅ STRONG",IF(AA154&gt;=40,"⚡ WARM",IF(AA154&gt;=20,"📋 NURTURE",IF(AA154&gt;0,"❌ COLD",""))))),"")</f>
        <v/>
      </c>
      <c r="AC154" s="31">
        <f>IFERROR(IF(AND(AA154&gt;=60,OR(W154="Yes",W154="Later")),"🚨 URGENT",IF(AND(AA154&gt;=40,I154="Call Back"),"📞 CALL BACK",IF(I154="Booked Meeting","📅 BOOKED",IF(I154="Not Interested","🚫 DEAD","⏳ WORKING")))),"")</f>
        <v/>
      </c>
      <c r="AD154" s="42" t="n"/>
      <c r="AE154" s="38" t="n"/>
      <c r="AF154" s="33">
        <f>IFERROR(IF(AE154="","",AE154-TODAY()),"")</f>
        <v/>
      </c>
      <c r="AG154" s="40" t="n"/>
    </row>
    <row r="155" ht="19.5" customHeight="1" s="105">
      <c r="A155" s="44" t="n"/>
      <c r="B155" s="23" t="n"/>
      <c r="C155" s="23" t="n"/>
      <c r="D155" s="23" t="n"/>
      <c r="E155" s="44" t="n"/>
      <c r="F155" s="44" t="n"/>
      <c r="G155" s="44" t="n"/>
      <c r="H155" s="23" t="n"/>
      <c r="I155" s="44" t="n"/>
      <c r="J155" s="44" t="n"/>
      <c r="K155" s="23" t="n"/>
      <c r="L155" s="44" t="n"/>
      <c r="M155" s="44" t="n"/>
      <c r="N155" s="44" t="n"/>
      <c r="O155" s="44" t="n"/>
      <c r="P155" s="44" t="n"/>
      <c r="Q155" s="44" t="n"/>
      <c r="R155" s="44" t="n"/>
      <c r="S155" s="44" t="n"/>
      <c r="T155" s="44" t="n"/>
      <c r="U155" s="44" t="n"/>
      <c r="V155" s="21">
        <f>IFERROR(ROUND((IF(Q155="Severe",4,IF(Q155="Moderate",3,IF(Q155="Minor",2,0)))+IF(R155="Severe",4,IF(R155="Moderate",3,IF(R155="Minor",2,0)))+IF(S155="Severe",4,IF(S155="Moderate",3,IF(S155="Minor",2,0)))+IF(T155="Severe",4,IF(T155="Moderate",3,IF(T155="Minor",2,0))))/16*100,0),"")</f>
        <v/>
      </c>
      <c r="W155" s="23" t="n"/>
      <c r="X155" s="44" t="n"/>
      <c r="Y155" s="44" t="n"/>
      <c r="Z155" s="44" t="n"/>
      <c r="AA155" s="22">
        <f>IFERROR(ROUND(IF(H155&gt;=10,30,IF(H155&gt;=5,20,IF(H155&gt;=2,10,0)))+IF(K155="Yes",20,IF(K155="Unsure",10,0))+IF(W155="Yes",30,IF(W155="Later",15,0))+IFERROR(V155/100*20,0)+IF(L155="Interested",15,IF(L155="Open But Busy",10,IF(L155="Neutral",5,0))),0),"")</f>
        <v/>
      </c>
      <c r="AB155" s="23">
        <f>IFERROR(IF(AA155&gt;=80,"🔥 HOT",IF(AA155&gt;=60,"✅ STRONG",IF(AA155&gt;=40,"⚡ WARM",IF(AA155&gt;=20,"📋 NURTURE",IF(AA155&gt;0,"❌ COLD",""))))),"")</f>
        <v/>
      </c>
      <c r="AC155" s="23">
        <f>IFERROR(IF(AND(AA155&gt;=60,OR(W155="Yes",W155="Later")),"🚨 URGENT",IF(AND(AA155&gt;=40,I155="Call Back"),"📞 CALL BACK",IF(I155="Booked Meeting","📅 BOOKED",IF(I155="Not Interested","🚫 DEAD","⏳ WORKING")))),"")</f>
        <v/>
      </c>
      <c r="AD155" s="45" t="n"/>
      <c r="AE155" s="37" t="n"/>
      <c r="AF155" s="25">
        <f>IFERROR(IF(AE155="","",AE155-TODAY()),"")</f>
        <v/>
      </c>
      <c r="AG155" s="44" t="n"/>
    </row>
    <row r="156" ht="19.5" customHeight="1" s="105">
      <c r="A156" s="40" t="n"/>
      <c r="B156" s="31" t="n"/>
      <c r="C156" s="31" t="n"/>
      <c r="D156" s="31" t="n"/>
      <c r="E156" s="40" t="n"/>
      <c r="F156" s="40" t="n"/>
      <c r="G156" s="40" t="n"/>
      <c r="H156" s="31" t="n"/>
      <c r="I156" s="40" t="n"/>
      <c r="J156" s="40" t="n"/>
      <c r="K156" s="31" t="n"/>
      <c r="L156" s="40" t="n"/>
      <c r="M156" s="40" t="n"/>
      <c r="N156" s="40" t="n"/>
      <c r="O156" s="40" t="n"/>
      <c r="P156" s="40" t="n"/>
      <c r="Q156" s="40" t="n"/>
      <c r="R156" s="40" t="n"/>
      <c r="S156" s="40" t="n"/>
      <c r="T156" s="40" t="n"/>
      <c r="U156" s="40" t="n"/>
      <c r="V156" s="29">
        <f>IFERROR(ROUND((IF(Q156="Severe",4,IF(Q156="Moderate",3,IF(Q156="Minor",2,0)))+IF(R156="Severe",4,IF(R156="Moderate",3,IF(R156="Minor",2,0)))+IF(S156="Severe",4,IF(S156="Moderate",3,IF(S156="Minor",2,0)))+IF(T156="Severe",4,IF(T156="Moderate",3,IF(T156="Minor",2,0))))/16*100,0),"")</f>
        <v/>
      </c>
      <c r="W156" s="31" t="n"/>
      <c r="X156" s="40" t="n"/>
      <c r="Y156" s="40" t="n"/>
      <c r="Z156" s="40" t="n"/>
      <c r="AA156" s="30">
        <f>IFERROR(ROUND(IF(H156&gt;=10,30,IF(H156&gt;=5,20,IF(H156&gt;=2,10,0)))+IF(K156="Yes",20,IF(K156="Unsure",10,0))+IF(W156="Yes",30,IF(W156="Later",15,0))+IFERROR(V156/100*20,0)+IF(L156="Interested",15,IF(L156="Open But Busy",10,IF(L156="Neutral",5,0))),0),"")</f>
        <v/>
      </c>
      <c r="AB156" s="31">
        <f>IFERROR(IF(AA156&gt;=80,"🔥 HOT",IF(AA156&gt;=60,"✅ STRONG",IF(AA156&gt;=40,"⚡ WARM",IF(AA156&gt;=20,"📋 NURTURE",IF(AA156&gt;0,"❌ COLD",""))))),"")</f>
        <v/>
      </c>
      <c r="AC156" s="31">
        <f>IFERROR(IF(AND(AA156&gt;=60,OR(W156="Yes",W156="Later")),"🚨 URGENT",IF(AND(AA156&gt;=40,I156="Call Back"),"📞 CALL BACK",IF(I156="Booked Meeting","📅 BOOKED",IF(I156="Not Interested","🚫 DEAD","⏳ WORKING")))),"")</f>
        <v/>
      </c>
      <c r="AD156" s="42" t="n"/>
      <c r="AE156" s="38" t="n"/>
      <c r="AF156" s="33">
        <f>IFERROR(IF(AE156="","",AE156-TODAY()),"")</f>
        <v/>
      </c>
      <c r="AG156" s="40" t="n"/>
    </row>
    <row r="157" ht="19.5" customHeight="1" s="105">
      <c r="A157" s="44" t="n"/>
      <c r="B157" s="23" t="n"/>
      <c r="C157" s="23" t="n"/>
      <c r="D157" s="23" t="n"/>
      <c r="E157" s="44" t="n"/>
      <c r="F157" s="44" t="n"/>
      <c r="G157" s="44" t="n"/>
      <c r="H157" s="23" t="n"/>
      <c r="I157" s="44" t="n"/>
      <c r="J157" s="44" t="n"/>
      <c r="K157" s="23" t="n"/>
      <c r="L157" s="44" t="n"/>
      <c r="M157" s="44" t="n"/>
      <c r="N157" s="44" t="n"/>
      <c r="O157" s="44" t="n"/>
      <c r="P157" s="44" t="n"/>
      <c r="Q157" s="44" t="n"/>
      <c r="R157" s="44" t="n"/>
      <c r="S157" s="44" t="n"/>
      <c r="T157" s="44" t="n"/>
      <c r="U157" s="44" t="n"/>
      <c r="V157" s="21">
        <f>IFERROR(ROUND((IF(Q157="Severe",4,IF(Q157="Moderate",3,IF(Q157="Minor",2,0)))+IF(R157="Severe",4,IF(R157="Moderate",3,IF(R157="Minor",2,0)))+IF(S157="Severe",4,IF(S157="Moderate",3,IF(S157="Minor",2,0)))+IF(T157="Severe",4,IF(T157="Moderate",3,IF(T157="Minor",2,0))))/16*100,0),"")</f>
        <v/>
      </c>
      <c r="W157" s="23" t="n"/>
      <c r="X157" s="44" t="n"/>
      <c r="Y157" s="44" t="n"/>
      <c r="Z157" s="44" t="n"/>
      <c r="AA157" s="22">
        <f>IFERROR(ROUND(IF(H157&gt;=10,30,IF(H157&gt;=5,20,IF(H157&gt;=2,10,0)))+IF(K157="Yes",20,IF(K157="Unsure",10,0))+IF(W157="Yes",30,IF(W157="Later",15,0))+IFERROR(V157/100*20,0)+IF(L157="Interested",15,IF(L157="Open But Busy",10,IF(L157="Neutral",5,0))),0),"")</f>
        <v/>
      </c>
      <c r="AB157" s="23">
        <f>IFERROR(IF(AA157&gt;=80,"🔥 HOT",IF(AA157&gt;=60,"✅ STRONG",IF(AA157&gt;=40,"⚡ WARM",IF(AA157&gt;=20,"📋 NURTURE",IF(AA157&gt;0,"❌ COLD",""))))),"")</f>
        <v/>
      </c>
      <c r="AC157" s="23">
        <f>IFERROR(IF(AND(AA157&gt;=60,OR(W157="Yes",W157="Later")),"🚨 URGENT",IF(AND(AA157&gt;=40,I157="Call Back"),"📞 CALL BACK",IF(I157="Booked Meeting","📅 BOOKED",IF(I157="Not Interested","🚫 DEAD","⏳ WORKING")))),"")</f>
        <v/>
      </c>
      <c r="AD157" s="45" t="n"/>
      <c r="AE157" s="37" t="n"/>
      <c r="AF157" s="25">
        <f>IFERROR(IF(AE157="","",AE157-TODAY()),"")</f>
        <v/>
      </c>
      <c r="AG157" s="44" t="n"/>
    </row>
    <row r="158" ht="19.5" customHeight="1" s="105">
      <c r="A158" s="40" t="n"/>
      <c r="B158" s="31" t="n"/>
      <c r="C158" s="31" t="n"/>
      <c r="D158" s="31" t="n"/>
      <c r="E158" s="40" t="n"/>
      <c r="F158" s="40" t="n"/>
      <c r="G158" s="40" t="n"/>
      <c r="H158" s="31" t="n"/>
      <c r="I158" s="40" t="n"/>
      <c r="J158" s="40" t="n"/>
      <c r="K158" s="31" t="n"/>
      <c r="L158" s="40" t="n"/>
      <c r="M158" s="40" t="n"/>
      <c r="N158" s="40" t="n"/>
      <c r="O158" s="40" t="n"/>
      <c r="P158" s="40" t="n"/>
      <c r="Q158" s="40" t="n"/>
      <c r="R158" s="40" t="n"/>
      <c r="S158" s="40" t="n"/>
      <c r="T158" s="40" t="n"/>
      <c r="U158" s="40" t="n"/>
      <c r="V158" s="29">
        <f>IFERROR(ROUND((IF(Q158="Severe",4,IF(Q158="Moderate",3,IF(Q158="Minor",2,0)))+IF(R158="Severe",4,IF(R158="Moderate",3,IF(R158="Minor",2,0)))+IF(S158="Severe",4,IF(S158="Moderate",3,IF(S158="Minor",2,0)))+IF(T158="Severe",4,IF(T158="Moderate",3,IF(T158="Minor",2,0))))/16*100,0),"")</f>
        <v/>
      </c>
      <c r="W158" s="31" t="n"/>
      <c r="X158" s="40" t="n"/>
      <c r="Y158" s="40" t="n"/>
      <c r="Z158" s="40" t="n"/>
      <c r="AA158" s="30">
        <f>IFERROR(ROUND(IF(H158&gt;=10,30,IF(H158&gt;=5,20,IF(H158&gt;=2,10,0)))+IF(K158="Yes",20,IF(K158="Unsure",10,0))+IF(W158="Yes",30,IF(W158="Later",15,0))+IFERROR(V158/100*20,0)+IF(L158="Interested",15,IF(L158="Open But Busy",10,IF(L158="Neutral",5,0))),0),"")</f>
        <v/>
      </c>
      <c r="AB158" s="31">
        <f>IFERROR(IF(AA158&gt;=80,"🔥 HOT",IF(AA158&gt;=60,"✅ STRONG",IF(AA158&gt;=40,"⚡ WARM",IF(AA158&gt;=20,"📋 NURTURE",IF(AA158&gt;0,"❌ COLD",""))))),"")</f>
        <v/>
      </c>
      <c r="AC158" s="31">
        <f>IFERROR(IF(AND(AA158&gt;=60,OR(W158="Yes",W158="Later")),"🚨 URGENT",IF(AND(AA158&gt;=40,I158="Call Back"),"📞 CALL BACK",IF(I158="Booked Meeting","📅 BOOKED",IF(I158="Not Interested","🚫 DEAD","⏳ WORKING")))),"")</f>
        <v/>
      </c>
      <c r="AD158" s="42" t="n"/>
      <c r="AE158" s="38" t="n"/>
      <c r="AF158" s="33">
        <f>IFERROR(IF(AE158="","",AE158-TODAY()),"")</f>
        <v/>
      </c>
      <c r="AG158" s="40" t="n"/>
    </row>
    <row r="159" ht="19.5" customHeight="1" s="105">
      <c r="A159" s="44" t="n"/>
      <c r="B159" s="23" t="n"/>
      <c r="C159" s="23" t="n"/>
      <c r="D159" s="23" t="n"/>
      <c r="E159" s="44" t="n"/>
      <c r="F159" s="44" t="n"/>
      <c r="G159" s="44" t="n"/>
      <c r="H159" s="23" t="n"/>
      <c r="I159" s="44" t="n"/>
      <c r="J159" s="44" t="n"/>
      <c r="K159" s="23" t="n"/>
      <c r="L159" s="44" t="n"/>
      <c r="M159" s="44" t="n"/>
      <c r="N159" s="44" t="n"/>
      <c r="O159" s="44" t="n"/>
      <c r="P159" s="44" t="n"/>
      <c r="Q159" s="44" t="n"/>
      <c r="R159" s="44" t="n"/>
      <c r="S159" s="44" t="n"/>
      <c r="T159" s="44" t="n"/>
      <c r="U159" s="44" t="n"/>
      <c r="V159" s="21">
        <f>IFERROR(ROUND((IF(Q159="Severe",4,IF(Q159="Moderate",3,IF(Q159="Minor",2,0)))+IF(R159="Severe",4,IF(R159="Moderate",3,IF(R159="Minor",2,0)))+IF(S159="Severe",4,IF(S159="Moderate",3,IF(S159="Minor",2,0)))+IF(T159="Severe",4,IF(T159="Moderate",3,IF(T159="Minor",2,0))))/16*100,0),"")</f>
        <v/>
      </c>
      <c r="W159" s="23" t="n"/>
      <c r="X159" s="44" t="n"/>
      <c r="Y159" s="44" t="n"/>
      <c r="Z159" s="44" t="n"/>
      <c r="AA159" s="22">
        <f>IFERROR(ROUND(IF(H159&gt;=10,30,IF(H159&gt;=5,20,IF(H159&gt;=2,10,0)))+IF(K159="Yes",20,IF(K159="Unsure",10,0))+IF(W159="Yes",30,IF(W159="Later",15,0))+IFERROR(V159/100*20,0)+IF(L159="Interested",15,IF(L159="Open But Busy",10,IF(L159="Neutral",5,0))),0),"")</f>
        <v/>
      </c>
      <c r="AB159" s="23">
        <f>IFERROR(IF(AA159&gt;=80,"🔥 HOT",IF(AA159&gt;=60,"✅ STRONG",IF(AA159&gt;=40,"⚡ WARM",IF(AA159&gt;=20,"📋 NURTURE",IF(AA159&gt;0,"❌ COLD",""))))),"")</f>
        <v/>
      </c>
      <c r="AC159" s="23">
        <f>IFERROR(IF(AND(AA159&gt;=60,OR(W159="Yes",W159="Later")),"🚨 URGENT",IF(AND(AA159&gt;=40,I159="Call Back"),"📞 CALL BACK",IF(I159="Booked Meeting","📅 BOOKED",IF(I159="Not Interested","🚫 DEAD","⏳ WORKING")))),"")</f>
        <v/>
      </c>
      <c r="AD159" s="45" t="n"/>
      <c r="AE159" s="37" t="n"/>
      <c r="AF159" s="25">
        <f>IFERROR(IF(AE159="","",AE159-TODAY()),"")</f>
        <v/>
      </c>
      <c r="AG159" s="44" t="n"/>
    </row>
    <row r="160" ht="19.5" customHeight="1" s="105">
      <c r="A160" s="40" t="n"/>
      <c r="B160" s="31" t="n"/>
      <c r="C160" s="31" t="n"/>
      <c r="D160" s="31" t="n"/>
      <c r="E160" s="40" t="n"/>
      <c r="F160" s="40" t="n"/>
      <c r="G160" s="40" t="n"/>
      <c r="H160" s="31" t="n"/>
      <c r="I160" s="40" t="n"/>
      <c r="J160" s="40" t="n"/>
      <c r="K160" s="31" t="n"/>
      <c r="L160" s="40" t="n"/>
      <c r="M160" s="40" t="n"/>
      <c r="N160" s="40" t="n"/>
      <c r="O160" s="40" t="n"/>
      <c r="P160" s="40" t="n"/>
      <c r="Q160" s="40" t="n"/>
      <c r="R160" s="40" t="n"/>
      <c r="S160" s="40" t="n"/>
      <c r="T160" s="40" t="n"/>
      <c r="U160" s="40" t="n"/>
      <c r="V160" s="29">
        <f>IFERROR(ROUND((IF(Q160="Severe",4,IF(Q160="Moderate",3,IF(Q160="Minor",2,0)))+IF(R160="Severe",4,IF(R160="Moderate",3,IF(R160="Minor",2,0)))+IF(S160="Severe",4,IF(S160="Moderate",3,IF(S160="Minor",2,0)))+IF(T160="Severe",4,IF(T160="Moderate",3,IF(T160="Minor",2,0))))/16*100,0),"")</f>
        <v/>
      </c>
      <c r="W160" s="31" t="n"/>
      <c r="X160" s="40" t="n"/>
      <c r="Y160" s="40" t="n"/>
      <c r="Z160" s="40" t="n"/>
      <c r="AA160" s="30">
        <f>IFERROR(ROUND(IF(H160&gt;=10,30,IF(H160&gt;=5,20,IF(H160&gt;=2,10,0)))+IF(K160="Yes",20,IF(K160="Unsure",10,0))+IF(W160="Yes",30,IF(W160="Later",15,0))+IFERROR(V160/100*20,0)+IF(L160="Interested",15,IF(L160="Open But Busy",10,IF(L160="Neutral",5,0))),0),"")</f>
        <v/>
      </c>
      <c r="AB160" s="31">
        <f>IFERROR(IF(AA160&gt;=80,"🔥 HOT",IF(AA160&gt;=60,"✅ STRONG",IF(AA160&gt;=40,"⚡ WARM",IF(AA160&gt;=20,"📋 NURTURE",IF(AA160&gt;0,"❌ COLD",""))))),"")</f>
        <v/>
      </c>
      <c r="AC160" s="31">
        <f>IFERROR(IF(AND(AA160&gt;=60,OR(W160="Yes",W160="Later")),"🚨 URGENT",IF(AND(AA160&gt;=40,I160="Call Back"),"📞 CALL BACK",IF(I160="Booked Meeting","📅 BOOKED",IF(I160="Not Interested","🚫 DEAD","⏳ WORKING")))),"")</f>
        <v/>
      </c>
      <c r="AD160" s="42" t="n"/>
      <c r="AE160" s="38" t="n"/>
      <c r="AF160" s="33">
        <f>IFERROR(IF(AE160="","",AE160-TODAY()),"")</f>
        <v/>
      </c>
      <c r="AG160" s="40" t="n"/>
    </row>
    <row r="161" ht="19.5" customHeight="1" s="105">
      <c r="A161" s="44" t="n"/>
      <c r="B161" s="23" t="n"/>
      <c r="C161" s="23" t="n"/>
      <c r="D161" s="23" t="n"/>
      <c r="E161" s="44" t="n"/>
      <c r="F161" s="44" t="n"/>
      <c r="G161" s="44" t="n"/>
      <c r="H161" s="23" t="n"/>
      <c r="I161" s="44" t="n"/>
      <c r="J161" s="44" t="n"/>
      <c r="K161" s="23" t="n"/>
      <c r="L161" s="44" t="n"/>
      <c r="M161" s="44" t="n"/>
      <c r="N161" s="44" t="n"/>
      <c r="O161" s="44" t="n"/>
      <c r="P161" s="44" t="n"/>
      <c r="Q161" s="44" t="n"/>
      <c r="R161" s="44" t="n"/>
      <c r="S161" s="44" t="n"/>
      <c r="T161" s="44" t="n"/>
      <c r="U161" s="44" t="n"/>
      <c r="V161" s="21">
        <f>IFERROR(ROUND((IF(Q161="Severe",4,IF(Q161="Moderate",3,IF(Q161="Minor",2,0)))+IF(R161="Severe",4,IF(R161="Moderate",3,IF(R161="Minor",2,0)))+IF(S161="Severe",4,IF(S161="Moderate",3,IF(S161="Minor",2,0)))+IF(T161="Severe",4,IF(T161="Moderate",3,IF(T161="Minor",2,0))))/16*100,0),"")</f>
        <v/>
      </c>
      <c r="W161" s="23" t="n"/>
      <c r="X161" s="44" t="n"/>
      <c r="Y161" s="44" t="n"/>
      <c r="Z161" s="44" t="n"/>
      <c r="AA161" s="22">
        <f>IFERROR(ROUND(IF(H161&gt;=10,30,IF(H161&gt;=5,20,IF(H161&gt;=2,10,0)))+IF(K161="Yes",20,IF(K161="Unsure",10,0))+IF(W161="Yes",30,IF(W161="Later",15,0))+IFERROR(V161/100*20,0)+IF(L161="Interested",15,IF(L161="Open But Busy",10,IF(L161="Neutral",5,0))),0),"")</f>
        <v/>
      </c>
      <c r="AB161" s="23">
        <f>IFERROR(IF(AA161&gt;=80,"🔥 HOT",IF(AA161&gt;=60,"✅ STRONG",IF(AA161&gt;=40,"⚡ WARM",IF(AA161&gt;=20,"📋 NURTURE",IF(AA161&gt;0,"❌ COLD",""))))),"")</f>
        <v/>
      </c>
      <c r="AC161" s="23">
        <f>IFERROR(IF(AND(AA161&gt;=60,OR(W161="Yes",W161="Later")),"🚨 URGENT",IF(AND(AA161&gt;=40,I161="Call Back"),"📞 CALL BACK",IF(I161="Booked Meeting","📅 BOOKED",IF(I161="Not Interested","🚫 DEAD","⏳ WORKING")))),"")</f>
        <v/>
      </c>
      <c r="AD161" s="45" t="n"/>
      <c r="AE161" s="37" t="n"/>
      <c r="AF161" s="25">
        <f>IFERROR(IF(AE161="","",AE161-TODAY()),"")</f>
        <v/>
      </c>
      <c r="AG161" s="44" t="n"/>
    </row>
    <row r="162" ht="19.5" customHeight="1" s="105">
      <c r="A162" s="40" t="n"/>
      <c r="B162" s="31" t="n"/>
      <c r="C162" s="31" t="n"/>
      <c r="D162" s="31" t="n"/>
      <c r="E162" s="40" t="n"/>
      <c r="F162" s="40" t="n"/>
      <c r="G162" s="40" t="n"/>
      <c r="H162" s="31" t="n"/>
      <c r="I162" s="40" t="n"/>
      <c r="J162" s="40" t="n"/>
      <c r="K162" s="31" t="n"/>
      <c r="L162" s="40" t="n"/>
      <c r="M162" s="40" t="n"/>
      <c r="N162" s="40" t="n"/>
      <c r="O162" s="40" t="n"/>
      <c r="P162" s="40" t="n"/>
      <c r="Q162" s="40" t="n"/>
      <c r="R162" s="40" t="n"/>
      <c r="S162" s="40" t="n"/>
      <c r="T162" s="40" t="n"/>
      <c r="U162" s="40" t="n"/>
      <c r="V162" s="29">
        <f>IFERROR(ROUND((IF(Q162="Severe",4,IF(Q162="Moderate",3,IF(Q162="Minor",2,0)))+IF(R162="Severe",4,IF(R162="Moderate",3,IF(R162="Minor",2,0)))+IF(S162="Severe",4,IF(S162="Moderate",3,IF(S162="Minor",2,0)))+IF(T162="Severe",4,IF(T162="Moderate",3,IF(T162="Minor",2,0))))/16*100,0),"")</f>
        <v/>
      </c>
      <c r="W162" s="31" t="n"/>
      <c r="X162" s="40" t="n"/>
      <c r="Y162" s="40" t="n"/>
      <c r="Z162" s="40" t="n"/>
      <c r="AA162" s="30">
        <f>IFERROR(ROUND(IF(H162&gt;=10,30,IF(H162&gt;=5,20,IF(H162&gt;=2,10,0)))+IF(K162="Yes",20,IF(K162="Unsure",10,0))+IF(W162="Yes",30,IF(W162="Later",15,0))+IFERROR(V162/100*20,0)+IF(L162="Interested",15,IF(L162="Open But Busy",10,IF(L162="Neutral",5,0))),0),"")</f>
        <v/>
      </c>
      <c r="AB162" s="31">
        <f>IFERROR(IF(AA162&gt;=80,"🔥 HOT",IF(AA162&gt;=60,"✅ STRONG",IF(AA162&gt;=40,"⚡ WARM",IF(AA162&gt;=20,"📋 NURTURE",IF(AA162&gt;0,"❌ COLD",""))))),"")</f>
        <v/>
      </c>
      <c r="AC162" s="31">
        <f>IFERROR(IF(AND(AA162&gt;=60,OR(W162="Yes",W162="Later")),"🚨 URGENT",IF(AND(AA162&gt;=40,I162="Call Back"),"📞 CALL BACK",IF(I162="Booked Meeting","📅 BOOKED",IF(I162="Not Interested","🚫 DEAD","⏳ WORKING")))),"")</f>
        <v/>
      </c>
      <c r="AD162" s="42" t="n"/>
      <c r="AE162" s="38" t="n"/>
      <c r="AF162" s="33">
        <f>IFERROR(IF(AE162="","",AE162-TODAY()),"")</f>
        <v/>
      </c>
      <c r="AG162" s="40" t="n"/>
    </row>
    <row r="163" ht="19.5" customHeight="1" s="105">
      <c r="A163" s="44" t="n"/>
      <c r="B163" s="23" t="n"/>
      <c r="C163" s="23" t="n"/>
      <c r="D163" s="23" t="n"/>
      <c r="E163" s="44" t="n"/>
      <c r="F163" s="44" t="n"/>
      <c r="G163" s="44" t="n"/>
      <c r="H163" s="23" t="n"/>
      <c r="I163" s="44" t="n"/>
      <c r="J163" s="44" t="n"/>
      <c r="K163" s="23" t="n"/>
      <c r="L163" s="44" t="n"/>
      <c r="M163" s="44" t="n"/>
      <c r="N163" s="44" t="n"/>
      <c r="O163" s="44" t="n"/>
      <c r="P163" s="44" t="n"/>
      <c r="Q163" s="44" t="n"/>
      <c r="R163" s="44" t="n"/>
      <c r="S163" s="44" t="n"/>
      <c r="T163" s="44" t="n"/>
      <c r="U163" s="44" t="n"/>
      <c r="V163" s="21">
        <f>IFERROR(ROUND((IF(Q163="Severe",4,IF(Q163="Moderate",3,IF(Q163="Minor",2,0)))+IF(R163="Severe",4,IF(R163="Moderate",3,IF(R163="Minor",2,0)))+IF(S163="Severe",4,IF(S163="Moderate",3,IF(S163="Minor",2,0)))+IF(T163="Severe",4,IF(T163="Moderate",3,IF(T163="Minor",2,0))))/16*100,0),"")</f>
        <v/>
      </c>
      <c r="W163" s="23" t="n"/>
      <c r="X163" s="44" t="n"/>
      <c r="Y163" s="44" t="n"/>
      <c r="Z163" s="44" t="n"/>
      <c r="AA163" s="22">
        <f>IFERROR(ROUND(IF(H163&gt;=10,30,IF(H163&gt;=5,20,IF(H163&gt;=2,10,0)))+IF(K163="Yes",20,IF(K163="Unsure",10,0))+IF(W163="Yes",30,IF(W163="Later",15,0))+IFERROR(V163/100*20,0)+IF(L163="Interested",15,IF(L163="Open But Busy",10,IF(L163="Neutral",5,0))),0),"")</f>
        <v/>
      </c>
      <c r="AB163" s="23">
        <f>IFERROR(IF(AA163&gt;=80,"🔥 HOT",IF(AA163&gt;=60,"✅ STRONG",IF(AA163&gt;=40,"⚡ WARM",IF(AA163&gt;=20,"📋 NURTURE",IF(AA163&gt;0,"❌ COLD",""))))),"")</f>
        <v/>
      </c>
      <c r="AC163" s="23">
        <f>IFERROR(IF(AND(AA163&gt;=60,OR(W163="Yes",W163="Later")),"🚨 URGENT",IF(AND(AA163&gt;=40,I163="Call Back"),"📞 CALL BACK",IF(I163="Booked Meeting","📅 BOOKED",IF(I163="Not Interested","🚫 DEAD","⏳ WORKING")))),"")</f>
        <v/>
      </c>
      <c r="AD163" s="45" t="n"/>
      <c r="AE163" s="37" t="n"/>
      <c r="AF163" s="25">
        <f>IFERROR(IF(AE163="","",AE163-TODAY()),"")</f>
        <v/>
      </c>
      <c r="AG163" s="44" t="n"/>
    </row>
    <row r="164" ht="19.5" customHeight="1" s="105">
      <c r="A164" s="40" t="n"/>
      <c r="B164" s="31" t="n"/>
      <c r="C164" s="31" t="n"/>
      <c r="D164" s="31" t="n"/>
      <c r="E164" s="40" t="n"/>
      <c r="F164" s="40" t="n"/>
      <c r="G164" s="40" t="n"/>
      <c r="H164" s="31" t="n"/>
      <c r="I164" s="40" t="n"/>
      <c r="J164" s="40" t="n"/>
      <c r="K164" s="31" t="n"/>
      <c r="L164" s="40" t="n"/>
      <c r="M164" s="40" t="n"/>
      <c r="N164" s="40" t="n"/>
      <c r="O164" s="40" t="n"/>
      <c r="P164" s="40" t="n"/>
      <c r="Q164" s="40" t="n"/>
      <c r="R164" s="40" t="n"/>
      <c r="S164" s="40" t="n"/>
      <c r="T164" s="40" t="n"/>
      <c r="U164" s="40" t="n"/>
      <c r="V164" s="29">
        <f>IFERROR(ROUND((IF(Q164="Severe",4,IF(Q164="Moderate",3,IF(Q164="Minor",2,0)))+IF(R164="Severe",4,IF(R164="Moderate",3,IF(R164="Minor",2,0)))+IF(S164="Severe",4,IF(S164="Moderate",3,IF(S164="Minor",2,0)))+IF(T164="Severe",4,IF(T164="Moderate",3,IF(T164="Minor",2,0))))/16*100,0),"")</f>
        <v/>
      </c>
      <c r="W164" s="31" t="n"/>
      <c r="X164" s="40" t="n"/>
      <c r="Y164" s="40" t="n"/>
      <c r="Z164" s="40" t="n"/>
      <c r="AA164" s="30">
        <f>IFERROR(ROUND(IF(H164&gt;=10,30,IF(H164&gt;=5,20,IF(H164&gt;=2,10,0)))+IF(K164="Yes",20,IF(K164="Unsure",10,0))+IF(W164="Yes",30,IF(W164="Later",15,0))+IFERROR(V164/100*20,0)+IF(L164="Interested",15,IF(L164="Open But Busy",10,IF(L164="Neutral",5,0))),0),"")</f>
        <v/>
      </c>
      <c r="AB164" s="31">
        <f>IFERROR(IF(AA164&gt;=80,"🔥 HOT",IF(AA164&gt;=60,"✅ STRONG",IF(AA164&gt;=40,"⚡ WARM",IF(AA164&gt;=20,"📋 NURTURE",IF(AA164&gt;0,"❌ COLD",""))))),"")</f>
        <v/>
      </c>
      <c r="AC164" s="31">
        <f>IFERROR(IF(AND(AA164&gt;=60,OR(W164="Yes",W164="Later")),"🚨 URGENT",IF(AND(AA164&gt;=40,I164="Call Back"),"📞 CALL BACK",IF(I164="Booked Meeting","📅 BOOKED",IF(I164="Not Interested","🚫 DEAD","⏳ WORKING")))),"")</f>
        <v/>
      </c>
      <c r="AD164" s="42" t="n"/>
      <c r="AE164" s="38" t="n"/>
      <c r="AF164" s="33">
        <f>IFERROR(IF(AE164="","",AE164-TODAY()),"")</f>
        <v/>
      </c>
      <c r="AG164" s="40" t="n"/>
    </row>
    <row r="165" ht="19.5" customHeight="1" s="105">
      <c r="A165" s="44" t="n"/>
      <c r="B165" s="23" t="n"/>
      <c r="C165" s="23" t="n"/>
      <c r="D165" s="23" t="n"/>
      <c r="E165" s="44" t="n"/>
      <c r="F165" s="44" t="n"/>
      <c r="G165" s="44" t="n"/>
      <c r="H165" s="23" t="n"/>
      <c r="I165" s="44" t="n"/>
      <c r="J165" s="44" t="n"/>
      <c r="K165" s="23" t="n"/>
      <c r="L165" s="44" t="n"/>
      <c r="M165" s="44" t="n"/>
      <c r="N165" s="44" t="n"/>
      <c r="O165" s="44" t="n"/>
      <c r="P165" s="44" t="n"/>
      <c r="Q165" s="44" t="n"/>
      <c r="R165" s="44" t="n"/>
      <c r="S165" s="44" t="n"/>
      <c r="T165" s="44" t="n"/>
      <c r="U165" s="44" t="n"/>
      <c r="V165" s="21">
        <f>IFERROR(ROUND((IF(Q165="Severe",4,IF(Q165="Moderate",3,IF(Q165="Minor",2,0)))+IF(R165="Severe",4,IF(R165="Moderate",3,IF(R165="Minor",2,0)))+IF(S165="Severe",4,IF(S165="Moderate",3,IF(S165="Minor",2,0)))+IF(T165="Severe",4,IF(T165="Moderate",3,IF(T165="Minor",2,0))))/16*100,0),"")</f>
        <v/>
      </c>
      <c r="W165" s="23" t="n"/>
      <c r="X165" s="44" t="n"/>
      <c r="Y165" s="44" t="n"/>
      <c r="Z165" s="44" t="n"/>
      <c r="AA165" s="22">
        <f>IFERROR(ROUND(IF(H165&gt;=10,30,IF(H165&gt;=5,20,IF(H165&gt;=2,10,0)))+IF(K165="Yes",20,IF(K165="Unsure",10,0))+IF(W165="Yes",30,IF(W165="Later",15,0))+IFERROR(V165/100*20,0)+IF(L165="Interested",15,IF(L165="Open But Busy",10,IF(L165="Neutral",5,0))),0),"")</f>
        <v/>
      </c>
      <c r="AB165" s="23">
        <f>IFERROR(IF(AA165&gt;=80,"🔥 HOT",IF(AA165&gt;=60,"✅ STRONG",IF(AA165&gt;=40,"⚡ WARM",IF(AA165&gt;=20,"📋 NURTURE",IF(AA165&gt;0,"❌ COLD",""))))),"")</f>
        <v/>
      </c>
      <c r="AC165" s="23">
        <f>IFERROR(IF(AND(AA165&gt;=60,OR(W165="Yes",W165="Later")),"🚨 URGENT",IF(AND(AA165&gt;=40,I165="Call Back"),"📞 CALL BACK",IF(I165="Booked Meeting","📅 BOOKED",IF(I165="Not Interested","🚫 DEAD","⏳ WORKING")))),"")</f>
        <v/>
      </c>
      <c r="AD165" s="45" t="n"/>
      <c r="AE165" s="37" t="n"/>
      <c r="AF165" s="25">
        <f>IFERROR(IF(AE165="","",AE165-TODAY()),"")</f>
        <v/>
      </c>
      <c r="AG165" s="44" t="n"/>
    </row>
    <row r="166" ht="19.5" customHeight="1" s="105">
      <c r="A166" s="40" t="n"/>
      <c r="B166" s="31" t="n"/>
      <c r="C166" s="31" t="n"/>
      <c r="D166" s="31" t="n"/>
      <c r="E166" s="40" t="n"/>
      <c r="F166" s="40" t="n"/>
      <c r="G166" s="40" t="n"/>
      <c r="H166" s="31" t="n"/>
      <c r="I166" s="40" t="n"/>
      <c r="J166" s="40" t="n"/>
      <c r="K166" s="31" t="n"/>
      <c r="L166" s="40" t="n"/>
      <c r="M166" s="40" t="n"/>
      <c r="N166" s="40" t="n"/>
      <c r="O166" s="40" t="n"/>
      <c r="P166" s="40" t="n"/>
      <c r="Q166" s="40" t="n"/>
      <c r="R166" s="40" t="n"/>
      <c r="S166" s="40" t="n"/>
      <c r="T166" s="40" t="n"/>
      <c r="U166" s="40" t="n"/>
      <c r="V166" s="29">
        <f>IFERROR(ROUND((IF(Q166="Severe",4,IF(Q166="Moderate",3,IF(Q166="Minor",2,0)))+IF(R166="Severe",4,IF(R166="Moderate",3,IF(R166="Minor",2,0)))+IF(S166="Severe",4,IF(S166="Moderate",3,IF(S166="Minor",2,0)))+IF(T166="Severe",4,IF(T166="Moderate",3,IF(T166="Minor",2,0))))/16*100,0),"")</f>
        <v/>
      </c>
      <c r="W166" s="31" t="n"/>
      <c r="X166" s="40" t="n"/>
      <c r="Y166" s="40" t="n"/>
      <c r="Z166" s="40" t="n"/>
      <c r="AA166" s="30">
        <f>IFERROR(ROUND(IF(H166&gt;=10,30,IF(H166&gt;=5,20,IF(H166&gt;=2,10,0)))+IF(K166="Yes",20,IF(K166="Unsure",10,0))+IF(W166="Yes",30,IF(W166="Later",15,0))+IFERROR(V166/100*20,0)+IF(L166="Interested",15,IF(L166="Open But Busy",10,IF(L166="Neutral",5,0))),0),"")</f>
        <v/>
      </c>
      <c r="AB166" s="31">
        <f>IFERROR(IF(AA166&gt;=80,"🔥 HOT",IF(AA166&gt;=60,"✅ STRONG",IF(AA166&gt;=40,"⚡ WARM",IF(AA166&gt;=20,"📋 NURTURE",IF(AA166&gt;0,"❌ COLD",""))))),"")</f>
        <v/>
      </c>
      <c r="AC166" s="31">
        <f>IFERROR(IF(AND(AA166&gt;=60,OR(W166="Yes",W166="Later")),"🚨 URGENT",IF(AND(AA166&gt;=40,I166="Call Back"),"📞 CALL BACK",IF(I166="Booked Meeting","📅 BOOKED",IF(I166="Not Interested","🚫 DEAD","⏳ WORKING")))),"")</f>
        <v/>
      </c>
      <c r="AD166" s="42" t="n"/>
      <c r="AE166" s="38" t="n"/>
      <c r="AF166" s="33">
        <f>IFERROR(IF(AE166="","",AE166-TODAY()),"")</f>
        <v/>
      </c>
      <c r="AG166" s="40" t="n"/>
    </row>
    <row r="167" ht="19.5" customHeight="1" s="105">
      <c r="A167" s="44" t="n"/>
      <c r="B167" s="23" t="n"/>
      <c r="C167" s="23" t="n"/>
      <c r="D167" s="23" t="n"/>
      <c r="E167" s="44" t="n"/>
      <c r="F167" s="44" t="n"/>
      <c r="G167" s="44" t="n"/>
      <c r="H167" s="23" t="n"/>
      <c r="I167" s="44" t="n"/>
      <c r="J167" s="44" t="n"/>
      <c r="K167" s="23" t="n"/>
      <c r="L167" s="44" t="n"/>
      <c r="M167" s="44" t="n"/>
      <c r="N167" s="44" t="n"/>
      <c r="O167" s="44" t="n"/>
      <c r="P167" s="44" t="n"/>
      <c r="Q167" s="44" t="n"/>
      <c r="R167" s="44" t="n"/>
      <c r="S167" s="44" t="n"/>
      <c r="T167" s="44" t="n"/>
      <c r="U167" s="44" t="n"/>
      <c r="V167" s="21">
        <f>IFERROR(ROUND((IF(Q167="Severe",4,IF(Q167="Moderate",3,IF(Q167="Minor",2,0)))+IF(R167="Severe",4,IF(R167="Moderate",3,IF(R167="Minor",2,0)))+IF(S167="Severe",4,IF(S167="Moderate",3,IF(S167="Minor",2,0)))+IF(T167="Severe",4,IF(T167="Moderate",3,IF(T167="Minor",2,0))))/16*100,0),"")</f>
        <v/>
      </c>
      <c r="W167" s="23" t="n"/>
      <c r="X167" s="44" t="n"/>
      <c r="Y167" s="44" t="n"/>
      <c r="Z167" s="44" t="n"/>
      <c r="AA167" s="22">
        <f>IFERROR(ROUND(IF(H167&gt;=10,30,IF(H167&gt;=5,20,IF(H167&gt;=2,10,0)))+IF(K167="Yes",20,IF(K167="Unsure",10,0))+IF(W167="Yes",30,IF(W167="Later",15,0))+IFERROR(V167/100*20,0)+IF(L167="Interested",15,IF(L167="Open But Busy",10,IF(L167="Neutral",5,0))),0),"")</f>
        <v/>
      </c>
      <c r="AB167" s="23">
        <f>IFERROR(IF(AA167&gt;=80,"🔥 HOT",IF(AA167&gt;=60,"✅ STRONG",IF(AA167&gt;=40,"⚡ WARM",IF(AA167&gt;=20,"📋 NURTURE",IF(AA167&gt;0,"❌ COLD",""))))),"")</f>
        <v/>
      </c>
      <c r="AC167" s="23">
        <f>IFERROR(IF(AND(AA167&gt;=60,OR(W167="Yes",W167="Later")),"🚨 URGENT",IF(AND(AA167&gt;=40,I167="Call Back"),"📞 CALL BACK",IF(I167="Booked Meeting","📅 BOOKED",IF(I167="Not Interested","🚫 DEAD","⏳ WORKING")))),"")</f>
        <v/>
      </c>
      <c r="AD167" s="45" t="n"/>
      <c r="AE167" s="37" t="n"/>
      <c r="AF167" s="25">
        <f>IFERROR(IF(AE167="","",AE167-TODAY()),"")</f>
        <v/>
      </c>
      <c r="AG167" s="44" t="n"/>
    </row>
    <row r="168" ht="19.5" customHeight="1" s="105">
      <c r="A168" s="40" t="n"/>
      <c r="B168" s="31" t="n"/>
      <c r="C168" s="31" t="n"/>
      <c r="D168" s="31" t="n"/>
      <c r="E168" s="40" t="n"/>
      <c r="F168" s="40" t="n"/>
      <c r="G168" s="40" t="n"/>
      <c r="H168" s="31" t="n"/>
      <c r="I168" s="40" t="n"/>
      <c r="J168" s="40" t="n"/>
      <c r="K168" s="31" t="n"/>
      <c r="L168" s="40" t="n"/>
      <c r="M168" s="40" t="n"/>
      <c r="N168" s="40" t="n"/>
      <c r="O168" s="40" t="n"/>
      <c r="P168" s="40" t="n"/>
      <c r="Q168" s="40" t="n"/>
      <c r="R168" s="40" t="n"/>
      <c r="S168" s="40" t="n"/>
      <c r="T168" s="40" t="n"/>
      <c r="U168" s="40" t="n"/>
      <c r="V168" s="29">
        <f>IFERROR(ROUND((IF(Q168="Severe",4,IF(Q168="Moderate",3,IF(Q168="Minor",2,0)))+IF(R168="Severe",4,IF(R168="Moderate",3,IF(R168="Minor",2,0)))+IF(S168="Severe",4,IF(S168="Moderate",3,IF(S168="Minor",2,0)))+IF(T168="Severe",4,IF(T168="Moderate",3,IF(T168="Minor",2,0))))/16*100,0),"")</f>
        <v/>
      </c>
      <c r="W168" s="31" t="n"/>
      <c r="X168" s="40" t="n"/>
      <c r="Y168" s="40" t="n"/>
      <c r="Z168" s="40" t="n"/>
      <c r="AA168" s="30">
        <f>IFERROR(ROUND(IF(H168&gt;=10,30,IF(H168&gt;=5,20,IF(H168&gt;=2,10,0)))+IF(K168="Yes",20,IF(K168="Unsure",10,0))+IF(W168="Yes",30,IF(W168="Later",15,0))+IFERROR(V168/100*20,0)+IF(L168="Interested",15,IF(L168="Open But Busy",10,IF(L168="Neutral",5,0))),0),"")</f>
        <v/>
      </c>
      <c r="AB168" s="31">
        <f>IFERROR(IF(AA168&gt;=80,"🔥 HOT",IF(AA168&gt;=60,"✅ STRONG",IF(AA168&gt;=40,"⚡ WARM",IF(AA168&gt;=20,"📋 NURTURE",IF(AA168&gt;0,"❌ COLD",""))))),"")</f>
        <v/>
      </c>
      <c r="AC168" s="31">
        <f>IFERROR(IF(AND(AA168&gt;=60,OR(W168="Yes",W168="Later")),"🚨 URGENT",IF(AND(AA168&gt;=40,I168="Call Back"),"📞 CALL BACK",IF(I168="Booked Meeting","📅 BOOKED",IF(I168="Not Interested","🚫 DEAD","⏳ WORKING")))),"")</f>
        <v/>
      </c>
      <c r="AD168" s="42" t="n"/>
      <c r="AE168" s="38" t="n"/>
      <c r="AF168" s="33">
        <f>IFERROR(IF(AE168="","",AE168-TODAY()),"")</f>
        <v/>
      </c>
      <c r="AG168" s="40" t="n"/>
    </row>
    <row r="169" ht="19.5" customHeight="1" s="105">
      <c r="A169" s="44" t="n"/>
      <c r="B169" s="23" t="n"/>
      <c r="C169" s="23" t="n"/>
      <c r="D169" s="23" t="n"/>
      <c r="E169" s="44" t="n"/>
      <c r="F169" s="44" t="n"/>
      <c r="G169" s="44" t="n"/>
      <c r="H169" s="23" t="n"/>
      <c r="I169" s="44" t="n"/>
      <c r="J169" s="44" t="n"/>
      <c r="K169" s="23" t="n"/>
      <c r="L169" s="44" t="n"/>
      <c r="M169" s="44" t="n"/>
      <c r="N169" s="44" t="n"/>
      <c r="O169" s="44" t="n"/>
      <c r="P169" s="44" t="n"/>
      <c r="Q169" s="44" t="n"/>
      <c r="R169" s="44" t="n"/>
      <c r="S169" s="44" t="n"/>
      <c r="T169" s="44" t="n"/>
      <c r="U169" s="44" t="n"/>
      <c r="V169" s="21">
        <f>IFERROR(ROUND((IF(Q169="Severe",4,IF(Q169="Moderate",3,IF(Q169="Minor",2,0)))+IF(R169="Severe",4,IF(R169="Moderate",3,IF(R169="Minor",2,0)))+IF(S169="Severe",4,IF(S169="Moderate",3,IF(S169="Minor",2,0)))+IF(T169="Severe",4,IF(T169="Moderate",3,IF(T169="Minor",2,0))))/16*100,0),"")</f>
        <v/>
      </c>
      <c r="W169" s="23" t="n"/>
      <c r="X169" s="44" t="n"/>
      <c r="Y169" s="44" t="n"/>
      <c r="Z169" s="44" t="n"/>
      <c r="AA169" s="22">
        <f>IFERROR(ROUND(IF(H169&gt;=10,30,IF(H169&gt;=5,20,IF(H169&gt;=2,10,0)))+IF(K169="Yes",20,IF(K169="Unsure",10,0))+IF(W169="Yes",30,IF(W169="Later",15,0))+IFERROR(V169/100*20,0)+IF(L169="Interested",15,IF(L169="Open But Busy",10,IF(L169="Neutral",5,0))),0),"")</f>
        <v/>
      </c>
      <c r="AB169" s="23">
        <f>IFERROR(IF(AA169&gt;=80,"🔥 HOT",IF(AA169&gt;=60,"✅ STRONG",IF(AA169&gt;=40,"⚡ WARM",IF(AA169&gt;=20,"📋 NURTURE",IF(AA169&gt;0,"❌ COLD",""))))),"")</f>
        <v/>
      </c>
      <c r="AC169" s="23">
        <f>IFERROR(IF(AND(AA169&gt;=60,OR(W169="Yes",W169="Later")),"🚨 URGENT",IF(AND(AA169&gt;=40,I169="Call Back"),"📞 CALL BACK",IF(I169="Booked Meeting","📅 BOOKED",IF(I169="Not Interested","🚫 DEAD","⏳ WORKING")))),"")</f>
        <v/>
      </c>
      <c r="AD169" s="45" t="n"/>
      <c r="AE169" s="37" t="n"/>
      <c r="AF169" s="25">
        <f>IFERROR(IF(AE169="","",AE169-TODAY()),"")</f>
        <v/>
      </c>
      <c r="AG169" s="44" t="n"/>
    </row>
    <row r="170" ht="19.5" customHeight="1" s="105">
      <c r="A170" s="40" t="n"/>
      <c r="B170" s="31" t="n"/>
      <c r="C170" s="31" t="n"/>
      <c r="D170" s="31" t="n"/>
      <c r="E170" s="40" t="n"/>
      <c r="F170" s="40" t="n"/>
      <c r="G170" s="40" t="n"/>
      <c r="H170" s="31" t="n"/>
      <c r="I170" s="40" t="n"/>
      <c r="J170" s="40" t="n"/>
      <c r="K170" s="31" t="n"/>
      <c r="L170" s="40" t="n"/>
      <c r="M170" s="40" t="n"/>
      <c r="N170" s="40" t="n"/>
      <c r="O170" s="40" t="n"/>
      <c r="P170" s="40" t="n"/>
      <c r="Q170" s="40" t="n"/>
      <c r="R170" s="40" t="n"/>
      <c r="S170" s="40" t="n"/>
      <c r="T170" s="40" t="n"/>
      <c r="U170" s="40" t="n"/>
      <c r="V170" s="29">
        <f>IFERROR(ROUND((IF(Q170="Severe",4,IF(Q170="Moderate",3,IF(Q170="Minor",2,0)))+IF(R170="Severe",4,IF(R170="Moderate",3,IF(R170="Minor",2,0)))+IF(S170="Severe",4,IF(S170="Moderate",3,IF(S170="Minor",2,0)))+IF(T170="Severe",4,IF(T170="Moderate",3,IF(T170="Minor",2,0))))/16*100,0),"")</f>
        <v/>
      </c>
      <c r="W170" s="31" t="n"/>
      <c r="X170" s="40" t="n"/>
      <c r="Y170" s="40" t="n"/>
      <c r="Z170" s="40" t="n"/>
      <c r="AA170" s="30">
        <f>IFERROR(ROUND(IF(H170&gt;=10,30,IF(H170&gt;=5,20,IF(H170&gt;=2,10,0)))+IF(K170="Yes",20,IF(K170="Unsure",10,0))+IF(W170="Yes",30,IF(W170="Later",15,0))+IFERROR(V170/100*20,0)+IF(L170="Interested",15,IF(L170="Open But Busy",10,IF(L170="Neutral",5,0))),0),"")</f>
        <v/>
      </c>
      <c r="AB170" s="31">
        <f>IFERROR(IF(AA170&gt;=80,"🔥 HOT",IF(AA170&gt;=60,"✅ STRONG",IF(AA170&gt;=40,"⚡ WARM",IF(AA170&gt;=20,"📋 NURTURE",IF(AA170&gt;0,"❌ COLD",""))))),"")</f>
        <v/>
      </c>
      <c r="AC170" s="31">
        <f>IFERROR(IF(AND(AA170&gt;=60,OR(W170="Yes",W170="Later")),"🚨 URGENT",IF(AND(AA170&gt;=40,I170="Call Back"),"📞 CALL BACK",IF(I170="Booked Meeting","📅 BOOKED",IF(I170="Not Interested","🚫 DEAD","⏳ WORKING")))),"")</f>
        <v/>
      </c>
      <c r="AD170" s="42" t="n"/>
      <c r="AE170" s="38" t="n"/>
      <c r="AF170" s="33">
        <f>IFERROR(IF(AE170="","",AE170-TODAY()),"")</f>
        <v/>
      </c>
      <c r="AG170" s="40" t="n"/>
    </row>
    <row r="171" ht="19.5" customHeight="1" s="105">
      <c r="A171" s="44" t="n"/>
      <c r="B171" s="23" t="n"/>
      <c r="C171" s="23" t="n"/>
      <c r="D171" s="23" t="n"/>
      <c r="E171" s="44" t="n"/>
      <c r="F171" s="44" t="n"/>
      <c r="G171" s="44" t="n"/>
      <c r="H171" s="23" t="n"/>
      <c r="I171" s="44" t="n"/>
      <c r="J171" s="44" t="n"/>
      <c r="K171" s="23" t="n"/>
      <c r="L171" s="44" t="n"/>
      <c r="M171" s="44" t="n"/>
      <c r="N171" s="44" t="n"/>
      <c r="O171" s="44" t="n"/>
      <c r="P171" s="44" t="n"/>
      <c r="Q171" s="44" t="n"/>
      <c r="R171" s="44" t="n"/>
      <c r="S171" s="44" t="n"/>
      <c r="T171" s="44" t="n"/>
      <c r="U171" s="44" t="n"/>
      <c r="V171" s="21">
        <f>IFERROR(ROUND((IF(Q171="Severe",4,IF(Q171="Moderate",3,IF(Q171="Minor",2,0)))+IF(R171="Severe",4,IF(R171="Moderate",3,IF(R171="Minor",2,0)))+IF(S171="Severe",4,IF(S171="Moderate",3,IF(S171="Minor",2,0)))+IF(T171="Severe",4,IF(T171="Moderate",3,IF(T171="Minor",2,0))))/16*100,0),"")</f>
        <v/>
      </c>
      <c r="W171" s="23" t="n"/>
      <c r="X171" s="44" t="n"/>
      <c r="Y171" s="44" t="n"/>
      <c r="Z171" s="44" t="n"/>
      <c r="AA171" s="22">
        <f>IFERROR(ROUND(IF(H171&gt;=10,30,IF(H171&gt;=5,20,IF(H171&gt;=2,10,0)))+IF(K171="Yes",20,IF(K171="Unsure",10,0))+IF(W171="Yes",30,IF(W171="Later",15,0))+IFERROR(V171/100*20,0)+IF(L171="Interested",15,IF(L171="Open But Busy",10,IF(L171="Neutral",5,0))),0),"")</f>
        <v/>
      </c>
      <c r="AB171" s="23">
        <f>IFERROR(IF(AA171&gt;=80,"🔥 HOT",IF(AA171&gt;=60,"✅ STRONG",IF(AA171&gt;=40,"⚡ WARM",IF(AA171&gt;=20,"📋 NURTURE",IF(AA171&gt;0,"❌ COLD",""))))),"")</f>
        <v/>
      </c>
      <c r="AC171" s="23">
        <f>IFERROR(IF(AND(AA171&gt;=60,OR(W171="Yes",W171="Later")),"🚨 URGENT",IF(AND(AA171&gt;=40,I171="Call Back"),"📞 CALL BACK",IF(I171="Booked Meeting","📅 BOOKED",IF(I171="Not Interested","🚫 DEAD","⏳ WORKING")))),"")</f>
        <v/>
      </c>
      <c r="AD171" s="45" t="n"/>
      <c r="AE171" s="37" t="n"/>
      <c r="AF171" s="25">
        <f>IFERROR(IF(AE171="","",AE171-TODAY()),"")</f>
        <v/>
      </c>
      <c r="AG171" s="44" t="n"/>
    </row>
    <row r="172" ht="19.5" customHeight="1" s="105">
      <c r="A172" s="40" t="n"/>
      <c r="B172" s="31" t="n"/>
      <c r="C172" s="31" t="n"/>
      <c r="D172" s="31" t="n"/>
      <c r="E172" s="40" t="n"/>
      <c r="F172" s="40" t="n"/>
      <c r="G172" s="40" t="n"/>
      <c r="H172" s="31" t="n"/>
      <c r="I172" s="40" t="n"/>
      <c r="J172" s="40" t="n"/>
      <c r="K172" s="31" t="n"/>
      <c r="L172" s="40" t="n"/>
      <c r="M172" s="40" t="n"/>
      <c r="N172" s="40" t="n"/>
      <c r="O172" s="40" t="n"/>
      <c r="P172" s="40" t="n"/>
      <c r="Q172" s="40" t="n"/>
      <c r="R172" s="40" t="n"/>
      <c r="S172" s="40" t="n"/>
      <c r="T172" s="40" t="n"/>
      <c r="U172" s="40" t="n"/>
      <c r="V172" s="29">
        <f>IFERROR(ROUND((IF(Q172="Severe",4,IF(Q172="Moderate",3,IF(Q172="Minor",2,0)))+IF(R172="Severe",4,IF(R172="Moderate",3,IF(R172="Minor",2,0)))+IF(S172="Severe",4,IF(S172="Moderate",3,IF(S172="Minor",2,0)))+IF(T172="Severe",4,IF(T172="Moderate",3,IF(T172="Minor",2,0))))/16*100,0),"")</f>
        <v/>
      </c>
      <c r="W172" s="31" t="n"/>
      <c r="X172" s="40" t="n"/>
      <c r="Y172" s="40" t="n"/>
      <c r="Z172" s="40" t="n"/>
      <c r="AA172" s="30">
        <f>IFERROR(ROUND(IF(H172&gt;=10,30,IF(H172&gt;=5,20,IF(H172&gt;=2,10,0)))+IF(K172="Yes",20,IF(K172="Unsure",10,0))+IF(W172="Yes",30,IF(W172="Later",15,0))+IFERROR(V172/100*20,0)+IF(L172="Interested",15,IF(L172="Open But Busy",10,IF(L172="Neutral",5,0))),0),"")</f>
        <v/>
      </c>
      <c r="AB172" s="31">
        <f>IFERROR(IF(AA172&gt;=80,"🔥 HOT",IF(AA172&gt;=60,"✅ STRONG",IF(AA172&gt;=40,"⚡ WARM",IF(AA172&gt;=20,"📋 NURTURE",IF(AA172&gt;0,"❌ COLD",""))))),"")</f>
        <v/>
      </c>
      <c r="AC172" s="31">
        <f>IFERROR(IF(AND(AA172&gt;=60,OR(W172="Yes",W172="Later")),"🚨 URGENT",IF(AND(AA172&gt;=40,I172="Call Back"),"📞 CALL BACK",IF(I172="Booked Meeting","📅 BOOKED",IF(I172="Not Interested","🚫 DEAD","⏳ WORKING")))),"")</f>
        <v/>
      </c>
      <c r="AD172" s="42" t="n"/>
      <c r="AE172" s="38" t="n"/>
      <c r="AF172" s="33">
        <f>IFERROR(IF(AE172="","",AE172-TODAY()),"")</f>
        <v/>
      </c>
      <c r="AG172" s="40" t="n"/>
    </row>
    <row r="173" ht="19.5" customHeight="1" s="105">
      <c r="A173" s="44" t="n"/>
      <c r="B173" s="23" t="n"/>
      <c r="C173" s="23" t="n"/>
      <c r="D173" s="23" t="n"/>
      <c r="E173" s="44" t="n"/>
      <c r="F173" s="44" t="n"/>
      <c r="G173" s="44" t="n"/>
      <c r="H173" s="23" t="n"/>
      <c r="I173" s="44" t="n"/>
      <c r="J173" s="44" t="n"/>
      <c r="K173" s="23" t="n"/>
      <c r="L173" s="44" t="n"/>
      <c r="M173" s="44" t="n"/>
      <c r="N173" s="44" t="n"/>
      <c r="O173" s="44" t="n"/>
      <c r="P173" s="44" t="n"/>
      <c r="Q173" s="44" t="n"/>
      <c r="R173" s="44" t="n"/>
      <c r="S173" s="44" t="n"/>
      <c r="T173" s="44" t="n"/>
      <c r="U173" s="44" t="n"/>
      <c r="V173" s="21">
        <f>IFERROR(ROUND((IF(Q173="Severe",4,IF(Q173="Moderate",3,IF(Q173="Minor",2,0)))+IF(R173="Severe",4,IF(R173="Moderate",3,IF(R173="Minor",2,0)))+IF(S173="Severe",4,IF(S173="Moderate",3,IF(S173="Minor",2,0)))+IF(T173="Severe",4,IF(T173="Moderate",3,IF(T173="Minor",2,0))))/16*100,0),"")</f>
        <v/>
      </c>
      <c r="W173" s="23" t="n"/>
      <c r="X173" s="44" t="n"/>
      <c r="Y173" s="44" t="n"/>
      <c r="Z173" s="44" t="n"/>
      <c r="AA173" s="22">
        <f>IFERROR(ROUND(IF(H173&gt;=10,30,IF(H173&gt;=5,20,IF(H173&gt;=2,10,0)))+IF(K173="Yes",20,IF(K173="Unsure",10,0))+IF(W173="Yes",30,IF(W173="Later",15,0))+IFERROR(V173/100*20,0)+IF(L173="Interested",15,IF(L173="Open But Busy",10,IF(L173="Neutral",5,0))),0),"")</f>
        <v/>
      </c>
      <c r="AB173" s="23">
        <f>IFERROR(IF(AA173&gt;=80,"🔥 HOT",IF(AA173&gt;=60,"✅ STRONG",IF(AA173&gt;=40,"⚡ WARM",IF(AA173&gt;=20,"📋 NURTURE",IF(AA173&gt;0,"❌ COLD",""))))),"")</f>
        <v/>
      </c>
      <c r="AC173" s="23">
        <f>IFERROR(IF(AND(AA173&gt;=60,OR(W173="Yes",W173="Later")),"🚨 URGENT",IF(AND(AA173&gt;=40,I173="Call Back"),"📞 CALL BACK",IF(I173="Booked Meeting","📅 BOOKED",IF(I173="Not Interested","🚫 DEAD","⏳ WORKING")))),"")</f>
        <v/>
      </c>
      <c r="AD173" s="45" t="n"/>
      <c r="AE173" s="37" t="n"/>
      <c r="AF173" s="25">
        <f>IFERROR(IF(AE173="","",AE173-TODAY()),"")</f>
        <v/>
      </c>
      <c r="AG173" s="44" t="n"/>
    </row>
    <row r="174" ht="19.5" customHeight="1" s="105">
      <c r="A174" s="40" t="n"/>
      <c r="B174" s="31" t="n"/>
      <c r="C174" s="31" t="n"/>
      <c r="D174" s="31" t="n"/>
      <c r="E174" s="40" t="n"/>
      <c r="F174" s="40" t="n"/>
      <c r="G174" s="40" t="n"/>
      <c r="H174" s="31" t="n"/>
      <c r="I174" s="40" t="n"/>
      <c r="J174" s="40" t="n"/>
      <c r="K174" s="31" t="n"/>
      <c r="L174" s="40" t="n"/>
      <c r="M174" s="40" t="n"/>
      <c r="N174" s="40" t="n"/>
      <c r="O174" s="40" t="n"/>
      <c r="P174" s="40" t="n"/>
      <c r="Q174" s="40" t="n"/>
      <c r="R174" s="40" t="n"/>
      <c r="S174" s="40" t="n"/>
      <c r="T174" s="40" t="n"/>
      <c r="U174" s="40" t="n"/>
      <c r="V174" s="29">
        <f>IFERROR(ROUND((IF(Q174="Severe",4,IF(Q174="Moderate",3,IF(Q174="Minor",2,0)))+IF(R174="Severe",4,IF(R174="Moderate",3,IF(R174="Minor",2,0)))+IF(S174="Severe",4,IF(S174="Moderate",3,IF(S174="Minor",2,0)))+IF(T174="Severe",4,IF(T174="Moderate",3,IF(T174="Minor",2,0))))/16*100,0),"")</f>
        <v/>
      </c>
      <c r="W174" s="31" t="n"/>
      <c r="X174" s="40" t="n"/>
      <c r="Y174" s="40" t="n"/>
      <c r="Z174" s="40" t="n"/>
      <c r="AA174" s="30">
        <f>IFERROR(ROUND(IF(H174&gt;=10,30,IF(H174&gt;=5,20,IF(H174&gt;=2,10,0)))+IF(K174="Yes",20,IF(K174="Unsure",10,0))+IF(W174="Yes",30,IF(W174="Later",15,0))+IFERROR(V174/100*20,0)+IF(L174="Interested",15,IF(L174="Open But Busy",10,IF(L174="Neutral",5,0))),0),"")</f>
        <v/>
      </c>
      <c r="AB174" s="31">
        <f>IFERROR(IF(AA174&gt;=80,"🔥 HOT",IF(AA174&gt;=60,"✅ STRONG",IF(AA174&gt;=40,"⚡ WARM",IF(AA174&gt;=20,"📋 NURTURE",IF(AA174&gt;0,"❌ COLD",""))))),"")</f>
        <v/>
      </c>
      <c r="AC174" s="31">
        <f>IFERROR(IF(AND(AA174&gt;=60,OR(W174="Yes",W174="Later")),"🚨 URGENT",IF(AND(AA174&gt;=40,I174="Call Back"),"📞 CALL BACK",IF(I174="Booked Meeting","📅 BOOKED",IF(I174="Not Interested","🚫 DEAD","⏳ WORKING")))),"")</f>
        <v/>
      </c>
      <c r="AD174" s="42" t="n"/>
      <c r="AE174" s="38" t="n"/>
      <c r="AF174" s="33">
        <f>IFERROR(IF(AE174="","",AE174-TODAY()),"")</f>
        <v/>
      </c>
      <c r="AG174" s="40" t="n"/>
    </row>
    <row r="175" ht="19.5" customHeight="1" s="105">
      <c r="A175" s="44" t="n"/>
      <c r="B175" s="23" t="n"/>
      <c r="C175" s="23" t="n"/>
      <c r="D175" s="23" t="n"/>
      <c r="E175" s="44" t="n"/>
      <c r="F175" s="44" t="n"/>
      <c r="G175" s="44" t="n"/>
      <c r="H175" s="23" t="n"/>
      <c r="I175" s="44" t="n"/>
      <c r="J175" s="44" t="n"/>
      <c r="K175" s="23" t="n"/>
      <c r="L175" s="44" t="n"/>
      <c r="M175" s="44" t="n"/>
      <c r="N175" s="44" t="n"/>
      <c r="O175" s="44" t="n"/>
      <c r="P175" s="44" t="n"/>
      <c r="Q175" s="44" t="n"/>
      <c r="R175" s="44" t="n"/>
      <c r="S175" s="44" t="n"/>
      <c r="T175" s="44" t="n"/>
      <c r="U175" s="44" t="n"/>
      <c r="V175" s="21">
        <f>IFERROR(ROUND((IF(Q175="Severe",4,IF(Q175="Moderate",3,IF(Q175="Minor",2,0)))+IF(R175="Severe",4,IF(R175="Moderate",3,IF(R175="Minor",2,0)))+IF(S175="Severe",4,IF(S175="Moderate",3,IF(S175="Minor",2,0)))+IF(T175="Severe",4,IF(T175="Moderate",3,IF(T175="Minor",2,0))))/16*100,0),"")</f>
        <v/>
      </c>
      <c r="W175" s="23" t="n"/>
      <c r="X175" s="44" t="n"/>
      <c r="Y175" s="44" t="n"/>
      <c r="Z175" s="44" t="n"/>
      <c r="AA175" s="22">
        <f>IFERROR(ROUND(IF(H175&gt;=10,30,IF(H175&gt;=5,20,IF(H175&gt;=2,10,0)))+IF(K175="Yes",20,IF(K175="Unsure",10,0))+IF(W175="Yes",30,IF(W175="Later",15,0))+IFERROR(V175/100*20,0)+IF(L175="Interested",15,IF(L175="Open But Busy",10,IF(L175="Neutral",5,0))),0),"")</f>
        <v/>
      </c>
      <c r="AB175" s="23">
        <f>IFERROR(IF(AA175&gt;=80,"🔥 HOT",IF(AA175&gt;=60,"✅ STRONG",IF(AA175&gt;=40,"⚡ WARM",IF(AA175&gt;=20,"📋 NURTURE",IF(AA175&gt;0,"❌ COLD",""))))),"")</f>
        <v/>
      </c>
      <c r="AC175" s="23">
        <f>IFERROR(IF(AND(AA175&gt;=60,OR(W175="Yes",W175="Later")),"🚨 URGENT",IF(AND(AA175&gt;=40,I175="Call Back"),"📞 CALL BACK",IF(I175="Booked Meeting","📅 BOOKED",IF(I175="Not Interested","🚫 DEAD","⏳ WORKING")))),"")</f>
        <v/>
      </c>
      <c r="AD175" s="45" t="n"/>
      <c r="AE175" s="37" t="n"/>
      <c r="AF175" s="25">
        <f>IFERROR(IF(AE175="","",AE175-TODAY()),"")</f>
        <v/>
      </c>
      <c r="AG175" s="44" t="n"/>
    </row>
    <row r="176" ht="19.5" customHeight="1" s="105">
      <c r="A176" s="40" t="n"/>
      <c r="B176" s="31" t="n"/>
      <c r="C176" s="31" t="n"/>
      <c r="D176" s="31" t="n"/>
      <c r="E176" s="40" t="n"/>
      <c r="F176" s="40" t="n"/>
      <c r="G176" s="40" t="n"/>
      <c r="H176" s="31" t="n"/>
      <c r="I176" s="40" t="n"/>
      <c r="J176" s="40" t="n"/>
      <c r="K176" s="31" t="n"/>
      <c r="L176" s="40" t="n"/>
      <c r="M176" s="40" t="n"/>
      <c r="N176" s="40" t="n"/>
      <c r="O176" s="40" t="n"/>
      <c r="P176" s="40" t="n"/>
      <c r="Q176" s="40" t="n"/>
      <c r="R176" s="40" t="n"/>
      <c r="S176" s="40" t="n"/>
      <c r="T176" s="40" t="n"/>
      <c r="U176" s="40" t="n"/>
      <c r="V176" s="29">
        <f>IFERROR(ROUND((IF(Q176="Severe",4,IF(Q176="Moderate",3,IF(Q176="Minor",2,0)))+IF(R176="Severe",4,IF(R176="Moderate",3,IF(R176="Minor",2,0)))+IF(S176="Severe",4,IF(S176="Moderate",3,IF(S176="Minor",2,0)))+IF(T176="Severe",4,IF(T176="Moderate",3,IF(T176="Minor",2,0))))/16*100,0),"")</f>
        <v/>
      </c>
      <c r="W176" s="31" t="n"/>
      <c r="X176" s="40" t="n"/>
      <c r="Y176" s="40" t="n"/>
      <c r="Z176" s="40" t="n"/>
      <c r="AA176" s="30">
        <f>IFERROR(ROUND(IF(H176&gt;=10,30,IF(H176&gt;=5,20,IF(H176&gt;=2,10,0)))+IF(K176="Yes",20,IF(K176="Unsure",10,0))+IF(W176="Yes",30,IF(W176="Later",15,0))+IFERROR(V176/100*20,0)+IF(L176="Interested",15,IF(L176="Open But Busy",10,IF(L176="Neutral",5,0))),0),"")</f>
        <v/>
      </c>
      <c r="AB176" s="31">
        <f>IFERROR(IF(AA176&gt;=80,"🔥 HOT",IF(AA176&gt;=60,"✅ STRONG",IF(AA176&gt;=40,"⚡ WARM",IF(AA176&gt;=20,"📋 NURTURE",IF(AA176&gt;0,"❌ COLD",""))))),"")</f>
        <v/>
      </c>
      <c r="AC176" s="31">
        <f>IFERROR(IF(AND(AA176&gt;=60,OR(W176="Yes",W176="Later")),"🚨 URGENT",IF(AND(AA176&gt;=40,I176="Call Back"),"📞 CALL BACK",IF(I176="Booked Meeting","📅 BOOKED",IF(I176="Not Interested","🚫 DEAD","⏳ WORKING")))),"")</f>
        <v/>
      </c>
      <c r="AD176" s="42" t="n"/>
      <c r="AE176" s="38" t="n"/>
      <c r="AF176" s="33">
        <f>IFERROR(IF(AE176="","",AE176-TODAY()),"")</f>
        <v/>
      </c>
      <c r="AG176" s="40" t="n"/>
    </row>
    <row r="177" ht="19.5" customHeight="1" s="105">
      <c r="A177" s="44" t="n"/>
      <c r="B177" s="23" t="n"/>
      <c r="C177" s="23" t="n"/>
      <c r="D177" s="23" t="n"/>
      <c r="E177" s="44" t="n"/>
      <c r="F177" s="44" t="n"/>
      <c r="G177" s="44" t="n"/>
      <c r="H177" s="23" t="n"/>
      <c r="I177" s="44" t="n"/>
      <c r="J177" s="44" t="n"/>
      <c r="K177" s="23" t="n"/>
      <c r="L177" s="44" t="n"/>
      <c r="M177" s="44" t="n"/>
      <c r="N177" s="44" t="n"/>
      <c r="O177" s="44" t="n"/>
      <c r="P177" s="44" t="n"/>
      <c r="Q177" s="44" t="n"/>
      <c r="R177" s="44" t="n"/>
      <c r="S177" s="44" t="n"/>
      <c r="T177" s="44" t="n"/>
      <c r="U177" s="44" t="n"/>
      <c r="V177" s="21">
        <f>IFERROR(ROUND((IF(Q177="Severe",4,IF(Q177="Moderate",3,IF(Q177="Minor",2,0)))+IF(R177="Severe",4,IF(R177="Moderate",3,IF(R177="Minor",2,0)))+IF(S177="Severe",4,IF(S177="Moderate",3,IF(S177="Minor",2,0)))+IF(T177="Severe",4,IF(T177="Moderate",3,IF(T177="Minor",2,0))))/16*100,0),"")</f>
        <v/>
      </c>
      <c r="W177" s="23" t="n"/>
      <c r="X177" s="44" t="n"/>
      <c r="Y177" s="44" t="n"/>
      <c r="Z177" s="44" t="n"/>
      <c r="AA177" s="22">
        <f>IFERROR(ROUND(IF(H177&gt;=10,30,IF(H177&gt;=5,20,IF(H177&gt;=2,10,0)))+IF(K177="Yes",20,IF(K177="Unsure",10,0))+IF(W177="Yes",30,IF(W177="Later",15,0))+IFERROR(V177/100*20,0)+IF(L177="Interested",15,IF(L177="Open But Busy",10,IF(L177="Neutral",5,0))),0),"")</f>
        <v/>
      </c>
      <c r="AB177" s="23">
        <f>IFERROR(IF(AA177&gt;=80,"🔥 HOT",IF(AA177&gt;=60,"✅ STRONG",IF(AA177&gt;=40,"⚡ WARM",IF(AA177&gt;=20,"📋 NURTURE",IF(AA177&gt;0,"❌ COLD",""))))),"")</f>
        <v/>
      </c>
      <c r="AC177" s="23">
        <f>IFERROR(IF(AND(AA177&gt;=60,OR(W177="Yes",W177="Later")),"🚨 URGENT",IF(AND(AA177&gt;=40,I177="Call Back"),"📞 CALL BACK",IF(I177="Booked Meeting","📅 BOOKED",IF(I177="Not Interested","🚫 DEAD","⏳ WORKING")))),"")</f>
        <v/>
      </c>
      <c r="AD177" s="45" t="n"/>
      <c r="AE177" s="37" t="n"/>
      <c r="AF177" s="25">
        <f>IFERROR(IF(AE177="","",AE177-TODAY()),"")</f>
        <v/>
      </c>
      <c r="AG177" s="44" t="n"/>
    </row>
    <row r="178" ht="19.5" customHeight="1" s="105">
      <c r="A178" s="40" t="n"/>
      <c r="B178" s="31" t="n"/>
      <c r="C178" s="31" t="n"/>
      <c r="D178" s="31" t="n"/>
      <c r="E178" s="40" t="n"/>
      <c r="F178" s="40" t="n"/>
      <c r="G178" s="40" t="n"/>
      <c r="H178" s="31" t="n"/>
      <c r="I178" s="40" t="n"/>
      <c r="J178" s="40" t="n"/>
      <c r="K178" s="31" t="n"/>
      <c r="L178" s="40" t="n"/>
      <c r="M178" s="40" t="n"/>
      <c r="N178" s="40" t="n"/>
      <c r="O178" s="40" t="n"/>
      <c r="P178" s="40" t="n"/>
      <c r="Q178" s="40" t="n"/>
      <c r="R178" s="40" t="n"/>
      <c r="S178" s="40" t="n"/>
      <c r="T178" s="40" t="n"/>
      <c r="U178" s="40" t="n"/>
      <c r="V178" s="29">
        <f>IFERROR(ROUND((IF(Q178="Severe",4,IF(Q178="Moderate",3,IF(Q178="Minor",2,0)))+IF(R178="Severe",4,IF(R178="Moderate",3,IF(R178="Minor",2,0)))+IF(S178="Severe",4,IF(S178="Moderate",3,IF(S178="Minor",2,0)))+IF(T178="Severe",4,IF(T178="Moderate",3,IF(T178="Minor",2,0))))/16*100,0),"")</f>
        <v/>
      </c>
      <c r="W178" s="31" t="n"/>
      <c r="X178" s="40" t="n"/>
      <c r="Y178" s="40" t="n"/>
      <c r="Z178" s="40" t="n"/>
      <c r="AA178" s="30">
        <f>IFERROR(ROUND(IF(H178&gt;=10,30,IF(H178&gt;=5,20,IF(H178&gt;=2,10,0)))+IF(K178="Yes",20,IF(K178="Unsure",10,0))+IF(W178="Yes",30,IF(W178="Later",15,0))+IFERROR(V178/100*20,0)+IF(L178="Interested",15,IF(L178="Open But Busy",10,IF(L178="Neutral",5,0))),0),"")</f>
        <v/>
      </c>
      <c r="AB178" s="31">
        <f>IFERROR(IF(AA178&gt;=80,"🔥 HOT",IF(AA178&gt;=60,"✅ STRONG",IF(AA178&gt;=40,"⚡ WARM",IF(AA178&gt;=20,"📋 NURTURE",IF(AA178&gt;0,"❌ COLD",""))))),"")</f>
        <v/>
      </c>
      <c r="AC178" s="31">
        <f>IFERROR(IF(AND(AA178&gt;=60,OR(W178="Yes",W178="Later")),"🚨 URGENT",IF(AND(AA178&gt;=40,I178="Call Back"),"📞 CALL BACK",IF(I178="Booked Meeting","📅 BOOKED",IF(I178="Not Interested","🚫 DEAD","⏳ WORKING")))),"")</f>
        <v/>
      </c>
      <c r="AD178" s="42" t="n"/>
      <c r="AE178" s="38" t="n"/>
      <c r="AF178" s="33">
        <f>IFERROR(IF(AE178="","",AE178-TODAY()),"")</f>
        <v/>
      </c>
      <c r="AG178" s="40" t="n"/>
    </row>
    <row r="179" ht="19.5" customHeight="1" s="105">
      <c r="A179" s="44" t="n"/>
      <c r="B179" s="23" t="n"/>
      <c r="C179" s="23" t="n"/>
      <c r="D179" s="23" t="n"/>
      <c r="E179" s="44" t="n"/>
      <c r="F179" s="44" t="n"/>
      <c r="G179" s="44" t="n"/>
      <c r="H179" s="23" t="n"/>
      <c r="I179" s="44" t="n"/>
      <c r="J179" s="44" t="n"/>
      <c r="K179" s="23" t="n"/>
      <c r="L179" s="44" t="n"/>
      <c r="M179" s="44" t="n"/>
      <c r="N179" s="44" t="n"/>
      <c r="O179" s="44" t="n"/>
      <c r="P179" s="44" t="n"/>
      <c r="Q179" s="44" t="n"/>
      <c r="R179" s="44" t="n"/>
      <c r="S179" s="44" t="n"/>
      <c r="T179" s="44" t="n"/>
      <c r="U179" s="44" t="n"/>
      <c r="V179" s="21">
        <f>IFERROR(ROUND((IF(Q179="Severe",4,IF(Q179="Moderate",3,IF(Q179="Minor",2,0)))+IF(R179="Severe",4,IF(R179="Moderate",3,IF(R179="Minor",2,0)))+IF(S179="Severe",4,IF(S179="Moderate",3,IF(S179="Minor",2,0)))+IF(T179="Severe",4,IF(T179="Moderate",3,IF(T179="Minor",2,0))))/16*100,0),"")</f>
        <v/>
      </c>
      <c r="W179" s="23" t="n"/>
      <c r="X179" s="44" t="n"/>
      <c r="Y179" s="44" t="n"/>
      <c r="Z179" s="44" t="n"/>
      <c r="AA179" s="22">
        <f>IFERROR(ROUND(IF(H179&gt;=10,30,IF(H179&gt;=5,20,IF(H179&gt;=2,10,0)))+IF(K179="Yes",20,IF(K179="Unsure",10,0))+IF(W179="Yes",30,IF(W179="Later",15,0))+IFERROR(V179/100*20,0)+IF(L179="Interested",15,IF(L179="Open But Busy",10,IF(L179="Neutral",5,0))),0),"")</f>
        <v/>
      </c>
      <c r="AB179" s="23">
        <f>IFERROR(IF(AA179&gt;=80,"🔥 HOT",IF(AA179&gt;=60,"✅ STRONG",IF(AA179&gt;=40,"⚡ WARM",IF(AA179&gt;=20,"📋 NURTURE",IF(AA179&gt;0,"❌ COLD",""))))),"")</f>
        <v/>
      </c>
      <c r="AC179" s="23">
        <f>IFERROR(IF(AND(AA179&gt;=60,OR(W179="Yes",W179="Later")),"🚨 URGENT",IF(AND(AA179&gt;=40,I179="Call Back"),"📞 CALL BACK",IF(I179="Booked Meeting","📅 BOOKED",IF(I179="Not Interested","🚫 DEAD","⏳ WORKING")))),"")</f>
        <v/>
      </c>
      <c r="AD179" s="45" t="n"/>
      <c r="AE179" s="37" t="n"/>
      <c r="AF179" s="25">
        <f>IFERROR(IF(AE179="","",AE179-TODAY()),"")</f>
        <v/>
      </c>
      <c r="AG179" s="44" t="n"/>
    </row>
    <row r="180" ht="19.5" customHeight="1" s="105">
      <c r="A180" s="40" t="n"/>
      <c r="B180" s="31" t="n"/>
      <c r="C180" s="31" t="n"/>
      <c r="D180" s="31" t="n"/>
      <c r="E180" s="40" t="n"/>
      <c r="F180" s="40" t="n"/>
      <c r="G180" s="40" t="n"/>
      <c r="H180" s="31" t="n"/>
      <c r="I180" s="40" t="n"/>
      <c r="J180" s="40" t="n"/>
      <c r="K180" s="31" t="n"/>
      <c r="L180" s="40" t="n"/>
      <c r="M180" s="40" t="n"/>
      <c r="N180" s="40" t="n"/>
      <c r="O180" s="40" t="n"/>
      <c r="P180" s="40" t="n"/>
      <c r="Q180" s="40" t="n"/>
      <c r="R180" s="40" t="n"/>
      <c r="S180" s="40" t="n"/>
      <c r="T180" s="40" t="n"/>
      <c r="U180" s="40" t="n"/>
      <c r="V180" s="29">
        <f>IFERROR(ROUND((IF(Q180="Severe",4,IF(Q180="Moderate",3,IF(Q180="Minor",2,0)))+IF(R180="Severe",4,IF(R180="Moderate",3,IF(R180="Minor",2,0)))+IF(S180="Severe",4,IF(S180="Moderate",3,IF(S180="Minor",2,0)))+IF(T180="Severe",4,IF(T180="Moderate",3,IF(T180="Minor",2,0))))/16*100,0),"")</f>
        <v/>
      </c>
      <c r="W180" s="31" t="n"/>
      <c r="X180" s="40" t="n"/>
      <c r="Y180" s="40" t="n"/>
      <c r="Z180" s="40" t="n"/>
      <c r="AA180" s="30">
        <f>IFERROR(ROUND(IF(H180&gt;=10,30,IF(H180&gt;=5,20,IF(H180&gt;=2,10,0)))+IF(K180="Yes",20,IF(K180="Unsure",10,0))+IF(W180="Yes",30,IF(W180="Later",15,0))+IFERROR(V180/100*20,0)+IF(L180="Interested",15,IF(L180="Open But Busy",10,IF(L180="Neutral",5,0))),0),"")</f>
        <v/>
      </c>
      <c r="AB180" s="31">
        <f>IFERROR(IF(AA180&gt;=80,"🔥 HOT",IF(AA180&gt;=60,"✅ STRONG",IF(AA180&gt;=40,"⚡ WARM",IF(AA180&gt;=20,"📋 NURTURE",IF(AA180&gt;0,"❌ COLD",""))))),"")</f>
        <v/>
      </c>
      <c r="AC180" s="31">
        <f>IFERROR(IF(AND(AA180&gt;=60,OR(W180="Yes",W180="Later")),"🚨 URGENT",IF(AND(AA180&gt;=40,I180="Call Back"),"📞 CALL BACK",IF(I180="Booked Meeting","📅 BOOKED",IF(I180="Not Interested","🚫 DEAD","⏳ WORKING")))),"")</f>
        <v/>
      </c>
      <c r="AD180" s="42" t="n"/>
      <c r="AE180" s="38" t="n"/>
      <c r="AF180" s="33">
        <f>IFERROR(IF(AE180="","",AE180-TODAY()),"")</f>
        <v/>
      </c>
      <c r="AG180" s="40" t="n"/>
    </row>
    <row r="181" ht="19.5" customHeight="1" s="105">
      <c r="A181" s="44" t="n"/>
      <c r="B181" s="23" t="n"/>
      <c r="C181" s="23" t="n"/>
      <c r="D181" s="23" t="n"/>
      <c r="E181" s="44" t="n"/>
      <c r="F181" s="44" t="n"/>
      <c r="G181" s="44" t="n"/>
      <c r="H181" s="23" t="n"/>
      <c r="I181" s="44" t="n"/>
      <c r="J181" s="44" t="n"/>
      <c r="K181" s="23" t="n"/>
      <c r="L181" s="44" t="n"/>
      <c r="M181" s="44" t="n"/>
      <c r="N181" s="44" t="n"/>
      <c r="O181" s="44" t="n"/>
      <c r="P181" s="44" t="n"/>
      <c r="Q181" s="44" t="n"/>
      <c r="R181" s="44" t="n"/>
      <c r="S181" s="44" t="n"/>
      <c r="T181" s="44" t="n"/>
      <c r="U181" s="44" t="n"/>
      <c r="V181" s="21">
        <f>IFERROR(ROUND((IF(Q181="Severe",4,IF(Q181="Moderate",3,IF(Q181="Minor",2,0)))+IF(R181="Severe",4,IF(R181="Moderate",3,IF(R181="Minor",2,0)))+IF(S181="Severe",4,IF(S181="Moderate",3,IF(S181="Minor",2,0)))+IF(T181="Severe",4,IF(T181="Moderate",3,IF(T181="Minor",2,0))))/16*100,0),"")</f>
        <v/>
      </c>
      <c r="W181" s="23" t="n"/>
      <c r="X181" s="44" t="n"/>
      <c r="Y181" s="44" t="n"/>
      <c r="Z181" s="44" t="n"/>
      <c r="AA181" s="22">
        <f>IFERROR(ROUND(IF(H181&gt;=10,30,IF(H181&gt;=5,20,IF(H181&gt;=2,10,0)))+IF(K181="Yes",20,IF(K181="Unsure",10,0))+IF(W181="Yes",30,IF(W181="Later",15,0))+IFERROR(V181/100*20,0)+IF(L181="Interested",15,IF(L181="Open But Busy",10,IF(L181="Neutral",5,0))),0),"")</f>
        <v/>
      </c>
      <c r="AB181" s="23">
        <f>IFERROR(IF(AA181&gt;=80,"🔥 HOT",IF(AA181&gt;=60,"✅ STRONG",IF(AA181&gt;=40,"⚡ WARM",IF(AA181&gt;=20,"📋 NURTURE",IF(AA181&gt;0,"❌ COLD",""))))),"")</f>
        <v/>
      </c>
      <c r="AC181" s="23">
        <f>IFERROR(IF(AND(AA181&gt;=60,OR(W181="Yes",W181="Later")),"🚨 URGENT",IF(AND(AA181&gt;=40,I181="Call Back"),"📞 CALL BACK",IF(I181="Booked Meeting","📅 BOOKED",IF(I181="Not Interested","🚫 DEAD","⏳ WORKING")))),"")</f>
        <v/>
      </c>
      <c r="AD181" s="45" t="n"/>
      <c r="AE181" s="37" t="n"/>
      <c r="AF181" s="25">
        <f>IFERROR(IF(AE181="","",AE181-TODAY()),"")</f>
        <v/>
      </c>
      <c r="AG181" s="44" t="n"/>
    </row>
    <row r="182" ht="19.5" customHeight="1" s="105">
      <c r="A182" s="40" t="n"/>
      <c r="B182" s="31" t="n"/>
      <c r="C182" s="31" t="n"/>
      <c r="D182" s="31" t="n"/>
      <c r="E182" s="40" t="n"/>
      <c r="F182" s="40" t="n"/>
      <c r="G182" s="40" t="n"/>
      <c r="H182" s="31" t="n"/>
      <c r="I182" s="40" t="n"/>
      <c r="J182" s="40" t="n"/>
      <c r="K182" s="31" t="n"/>
      <c r="L182" s="40" t="n"/>
      <c r="M182" s="40" t="n"/>
      <c r="N182" s="40" t="n"/>
      <c r="O182" s="40" t="n"/>
      <c r="P182" s="40" t="n"/>
      <c r="Q182" s="40" t="n"/>
      <c r="R182" s="40" t="n"/>
      <c r="S182" s="40" t="n"/>
      <c r="T182" s="40" t="n"/>
      <c r="U182" s="40" t="n"/>
      <c r="V182" s="29">
        <f>IFERROR(ROUND((IF(Q182="Severe",4,IF(Q182="Moderate",3,IF(Q182="Minor",2,0)))+IF(R182="Severe",4,IF(R182="Moderate",3,IF(R182="Minor",2,0)))+IF(S182="Severe",4,IF(S182="Moderate",3,IF(S182="Minor",2,0)))+IF(T182="Severe",4,IF(T182="Moderate",3,IF(T182="Minor",2,0))))/16*100,0),"")</f>
        <v/>
      </c>
      <c r="W182" s="31" t="n"/>
      <c r="X182" s="40" t="n"/>
      <c r="Y182" s="40" t="n"/>
      <c r="Z182" s="40" t="n"/>
      <c r="AA182" s="30">
        <f>IFERROR(ROUND(IF(H182&gt;=10,30,IF(H182&gt;=5,20,IF(H182&gt;=2,10,0)))+IF(K182="Yes",20,IF(K182="Unsure",10,0))+IF(W182="Yes",30,IF(W182="Later",15,0))+IFERROR(V182/100*20,0)+IF(L182="Interested",15,IF(L182="Open But Busy",10,IF(L182="Neutral",5,0))),0),"")</f>
        <v/>
      </c>
      <c r="AB182" s="31">
        <f>IFERROR(IF(AA182&gt;=80,"🔥 HOT",IF(AA182&gt;=60,"✅ STRONG",IF(AA182&gt;=40,"⚡ WARM",IF(AA182&gt;=20,"📋 NURTURE",IF(AA182&gt;0,"❌ COLD",""))))),"")</f>
        <v/>
      </c>
      <c r="AC182" s="31">
        <f>IFERROR(IF(AND(AA182&gt;=60,OR(W182="Yes",W182="Later")),"🚨 URGENT",IF(AND(AA182&gt;=40,I182="Call Back"),"📞 CALL BACK",IF(I182="Booked Meeting","📅 BOOKED",IF(I182="Not Interested","🚫 DEAD","⏳ WORKING")))),"")</f>
        <v/>
      </c>
      <c r="AD182" s="42" t="n"/>
      <c r="AE182" s="38" t="n"/>
      <c r="AF182" s="33">
        <f>IFERROR(IF(AE182="","",AE182-TODAY()),"")</f>
        <v/>
      </c>
      <c r="AG182" s="40" t="n"/>
    </row>
    <row r="183" ht="19.5" customHeight="1" s="105">
      <c r="A183" s="44" t="n"/>
      <c r="B183" s="23" t="n"/>
      <c r="C183" s="23" t="n"/>
      <c r="D183" s="23" t="n"/>
      <c r="E183" s="44" t="n"/>
      <c r="F183" s="44" t="n"/>
      <c r="G183" s="44" t="n"/>
      <c r="H183" s="23" t="n"/>
      <c r="I183" s="44" t="n"/>
      <c r="J183" s="44" t="n"/>
      <c r="K183" s="23" t="n"/>
      <c r="L183" s="44" t="n"/>
      <c r="M183" s="44" t="n"/>
      <c r="N183" s="44" t="n"/>
      <c r="O183" s="44" t="n"/>
      <c r="P183" s="44" t="n"/>
      <c r="Q183" s="44" t="n"/>
      <c r="R183" s="44" t="n"/>
      <c r="S183" s="44" t="n"/>
      <c r="T183" s="44" t="n"/>
      <c r="U183" s="44" t="n"/>
      <c r="V183" s="21">
        <f>IFERROR(ROUND((IF(Q183="Severe",4,IF(Q183="Moderate",3,IF(Q183="Minor",2,0)))+IF(R183="Severe",4,IF(R183="Moderate",3,IF(R183="Minor",2,0)))+IF(S183="Severe",4,IF(S183="Moderate",3,IF(S183="Minor",2,0)))+IF(T183="Severe",4,IF(T183="Moderate",3,IF(T183="Minor",2,0))))/16*100,0),"")</f>
        <v/>
      </c>
      <c r="W183" s="23" t="n"/>
      <c r="X183" s="44" t="n"/>
      <c r="Y183" s="44" t="n"/>
      <c r="Z183" s="44" t="n"/>
      <c r="AA183" s="22">
        <f>IFERROR(ROUND(IF(H183&gt;=10,30,IF(H183&gt;=5,20,IF(H183&gt;=2,10,0)))+IF(K183="Yes",20,IF(K183="Unsure",10,0))+IF(W183="Yes",30,IF(W183="Later",15,0))+IFERROR(V183/100*20,0)+IF(L183="Interested",15,IF(L183="Open But Busy",10,IF(L183="Neutral",5,0))),0),"")</f>
        <v/>
      </c>
      <c r="AB183" s="23">
        <f>IFERROR(IF(AA183&gt;=80,"🔥 HOT",IF(AA183&gt;=60,"✅ STRONG",IF(AA183&gt;=40,"⚡ WARM",IF(AA183&gt;=20,"📋 NURTURE",IF(AA183&gt;0,"❌ COLD",""))))),"")</f>
        <v/>
      </c>
      <c r="AC183" s="23">
        <f>IFERROR(IF(AND(AA183&gt;=60,OR(W183="Yes",W183="Later")),"🚨 URGENT",IF(AND(AA183&gt;=40,I183="Call Back"),"📞 CALL BACK",IF(I183="Booked Meeting","📅 BOOKED",IF(I183="Not Interested","🚫 DEAD","⏳ WORKING")))),"")</f>
        <v/>
      </c>
      <c r="AD183" s="45" t="n"/>
      <c r="AE183" s="37" t="n"/>
      <c r="AF183" s="25">
        <f>IFERROR(IF(AE183="","",AE183-TODAY()),"")</f>
        <v/>
      </c>
      <c r="AG183" s="44" t="n"/>
    </row>
    <row r="184" ht="19.5" customHeight="1" s="105">
      <c r="A184" s="40" t="n"/>
      <c r="B184" s="31" t="n"/>
      <c r="C184" s="31" t="n"/>
      <c r="D184" s="31" t="n"/>
      <c r="E184" s="40" t="n"/>
      <c r="F184" s="40" t="n"/>
      <c r="G184" s="40" t="n"/>
      <c r="H184" s="31" t="n"/>
      <c r="I184" s="40" t="n"/>
      <c r="J184" s="40" t="n"/>
      <c r="K184" s="31" t="n"/>
      <c r="L184" s="40" t="n"/>
      <c r="M184" s="40" t="n"/>
      <c r="N184" s="40" t="n"/>
      <c r="O184" s="40" t="n"/>
      <c r="P184" s="40" t="n"/>
      <c r="Q184" s="40" t="n"/>
      <c r="R184" s="40" t="n"/>
      <c r="S184" s="40" t="n"/>
      <c r="T184" s="40" t="n"/>
      <c r="U184" s="40" t="n"/>
      <c r="V184" s="29">
        <f>IFERROR(ROUND((IF(Q184="Severe",4,IF(Q184="Moderate",3,IF(Q184="Minor",2,0)))+IF(R184="Severe",4,IF(R184="Moderate",3,IF(R184="Minor",2,0)))+IF(S184="Severe",4,IF(S184="Moderate",3,IF(S184="Minor",2,0)))+IF(T184="Severe",4,IF(T184="Moderate",3,IF(T184="Minor",2,0))))/16*100,0),"")</f>
        <v/>
      </c>
      <c r="W184" s="31" t="n"/>
      <c r="X184" s="40" t="n"/>
      <c r="Y184" s="40" t="n"/>
      <c r="Z184" s="40" t="n"/>
      <c r="AA184" s="30">
        <f>IFERROR(ROUND(IF(H184&gt;=10,30,IF(H184&gt;=5,20,IF(H184&gt;=2,10,0)))+IF(K184="Yes",20,IF(K184="Unsure",10,0))+IF(W184="Yes",30,IF(W184="Later",15,0))+IFERROR(V184/100*20,0)+IF(L184="Interested",15,IF(L184="Open But Busy",10,IF(L184="Neutral",5,0))),0),"")</f>
        <v/>
      </c>
      <c r="AB184" s="31">
        <f>IFERROR(IF(AA184&gt;=80,"🔥 HOT",IF(AA184&gt;=60,"✅ STRONG",IF(AA184&gt;=40,"⚡ WARM",IF(AA184&gt;=20,"📋 NURTURE",IF(AA184&gt;0,"❌ COLD",""))))),"")</f>
        <v/>
      </c>
      <c r="AC184" s="31">
        <f>IFERROR(IF(AND(AA184&gt;=60,OR(W184="Yes",W184="Later")),"🚨 URGENT",IF(AND(AA184&gt;=40,I184="Call Back"),"📞 CALL BACK",IF(I184="Booked Meeting","📅 BOOKED",IF(I184="Not Interested","🚫 DEAD","⏳ WORKING")))),"")</f>
        <v/>
      </c>
      <c r="AD184" s="42" t="n"/>
      <c r="AE184" s="38" t="n"/>
      <c r="AF184" s="33">
        <f>IFERROR(IF(AE184="","",AE184-TODAY()),"")</f>
        <v/>
      </c>
      <c r="AG184" s="40" t="n"/>
    </row>
    <row r="185" ht="19.5" customHeight="1" s="105">
      <c r="A185" s="44" t="n"/>
      <c r="B185" s="23" t="n"/>
      <c r="C185" s="23" t="n"/>
      <c r="D185" s="23" t="n"/>
      <c r="E185" s="44" t="n"/>
      <c r="F185" s="44" t="n"/>
      <c r="G185" s="44" t="n"/>
      <c r="H185" s="23" t="n"/>
      <c r="I185" s="44" t="n"/>
      <c r="J185" s="44" t="n"/>
      <c r="K185" s="23" t="n"/>
      <c r="L185" s="44" t="n"/>
      <c r="M185" s="44" t="n"/>
      <c r="N185" s="44" t="n"/>
      <c r="O185" s="44" t="n"/>
      <c r="P185" s="44" t="n"/>
      <c r="Q185" s="44" t="n"/>
      <c r="R185" s="44" t="n"/>
      <c r="S185" s="44" t="n"/>
      <c r="T185" s="44" t="n"/>
      <c r="U185" s="44" t="n"/>
      <c r="V185" s="21">
        <f>IFERROR(ROUND((IF(Q185="Severe",4,IF(Q185="Moderate",3,IF(Q185="Minor",2,0)))+IF(R185="Severe",4,IF(R185="Moderate",3,IF(R185="Minor",2,0)))+IF(S185="Severe",4,IF(S185="Moderate",3,IF(S185="Minor",2,0)))+IF(T185="Severe",4,IF(T185="Moderate",3,IF(T185="Minor",2,0))))/16*100,0),"")</f>
        <v/>
      </c>
      <c r="W185" s="23" t="n"/>
      <c r="X185" s="44" t="n"/>
      <c r="Y185" s="44" t="n"/>
      <c r="Z185" s="44" t="n"/>
      <c r="AA185" s="22">
        <f>IFERROR(ROUND(IF(H185&gt;=10,30,IF(H185&gt;=5,20,IF(H185&gt;=2,10,0)))+IF(K185="Yes",20,IF(K185="Unsure",10,0))+IF(W185="Yes",30,IF(W185="Later",15,0))+IFERROR(V185/100*20,0)+IF(L185="Interested",15,IF(L185="Open But Busy",10,IF(L185="Neutral",5,0))),0),"")</f>
        <v/>
      </c>
      <c r="AB185" s="23">
        <f>IFERROR(IF(AA185&gt;=80,"🔥 HOT",IF(AA185&gt;=60,"✅ STRONG",IF(AA185&gt;=40,"⚡ WARM",IF(AA185&gt;=20,"📋 NURTURE",IF(AA185&gt;0,"❌ COLD",""))))),"")</f>
        <v/>
      </c>
      <c r="AC185" s="23">
        <f>IFERROR(IF(AND(AA185&gt;=60,OR(W185="Yes",W185="Later")),"🚨 URGENT",IF(AND(AA185&gt;=40,I185="Call Back"),"📞 CALL BACK",IF(I185="Booked Meeting","📅 BOOKED",IF(I185="Not Interested","🚫 DEAD","⏳ WORKING")))),"")</f>
        <v/>
      </c>
      <c r="AD185" s="45" t="n"/>
      <c r="AE185" s="37" t="n"/>
      <c r="AF185" s="25">
        <f>IFERROR(IF(AE185="","",AE185-TODAY()),"")</f>
        <v/>
      </c>
      <c r="AG185" s="44" t="n"/>
    </row>
    <row r="186" ht="19.5" customHeight="1" s="105">
      <c r="A186" s="40" t="n"/>
      <c r="B186" s="31" t="n"/>
      <c r="C186" s="31" t="n"/>
      <c r="D186" s="31" t="n"/>
      <c r="E186" s="40" t="n"/>
      <c r="F186" s="40" t="n"/>
      <c r="G186" s="40" t="n"/>
      <c r="H186" s="31" t="n"/>
      <c r="I186" s="40" t="n"/>
      <c r="J186" s="40" t="n"/>
      <c r="K186" s="31" t="n"/>
      <c r="L186" s="40" t="n"/>
      <c r="M186" s="40" t="n"/>
      <c r="N186" s="40" t="n"/>
      <c r="O186" s="40" t="n"/>
      <c r="P186" s="40" t="n"/>
      <c r="Q186" s="40" t="n"/>
      <c r="R186" s="40" t="n"/>
      <c r="S186" s="40" t="n"/>
      <c r="T186" s="40" t="n"/>
      <c r="U186" s="40" t="n"/>
      <c r="V186" s="29">
        <f>IFERROR(ROUND((IF(Q186="Severe",4,IF(Q186="Moderate",3,IF(Q186="Minor",2,0)))+IF(R186="Severe",4,IF(R186="Moderate",3,IF(R186="Minor",2,0)))+IF(S186="Severe",4,IF(S186="Moderate",3,IF(S186="Minor",2,0)))+IF(T186="Severe",4,IF(T186="Moderate",3,IF(T186="Minor",2,0))))/16*100,0),"")</f>
        <v/>
      </c>
      <c r="W186" s="31" t="n"/>
      <c r="X186" s="40" t="n"/>
      <c r="Y186" s="40" t="n"/>
      <c r="Z186" s="40" t="n"/>
      <c r="AA186" s="30">
        <f>IFERROR(ROUND(IF(H186&gt;=10,30,IF(H186&gt;=5,20,IF(H186&gt;=2,10,0)))+IF(K186="Yes",20,IF(K186="Unsure",10,0))+IF(W186="Yes",30,IF(W186="Later",15,0))+IFERROR(V186/100*20,0)+IF(L186="Interested",15,IF(L186="Open But Busy",10,IF(L186="Neutral",5,0))),0),"")</f>
        <v/>
      </c>
      <c r="AB186" s="31">
        <f>IFERROR(IF(AA186&gt;=80,"🔥 HOT",IF(AA186&gt;=60,"✅ STRONG",IF(AA186&gt;=40,"⚡ WARM",IF(AA186&gt;=20,"📋 NURTURE",IF(AA186&gt;0,"❌ COLD",""))))),"")</f>
        <v/>
      </c>
      <c r="AC186" s="31">
        <f>IFERROR(IF(AND(AA186&gt;=60,OR(W186="Yes",W186="Later")),"🚨 URGENT",IF(AND(AA186&gt;=40,I186="Call Back"),"📞 CALL BACK",IF(I186="Booked Meeting","📅 BOOKED",IF(I186="Not Interested","🚫 DEAD","⏳ WORKING")))),"")</f>
        <v/>
      </c>
      <c r="AD186" s="42" t="n"/>
      <c r="AE186" s="38" t="n"/>
      <c r="AF186" s="33">
        <f>IFERROR(IF(AE186="","",AE186-TODAY()),"")</f>
        <v/>
      </c>
      <c r="AG186" s="40" t="n"/>
    </row>
    <row r="187" ht="19.5" customHeight="1" s="105">
      <c r="A187" s="44" t="n"/>
      <c r="B187" s="23" t="n"/>
      <c r="C187" s="23" t="n"/>
      <c r="D187" s="23" t="n"/>
      <c r="E187" s="44" t="n"/>
      <c r="F187" s="44" t="n"/>
      <c r="G187" s="44" t="n"/>
      <c r="H187" s="23" t="n"/>
      <c r="I187" s="44" t="n"/>
      <c r="J187" s="44" t="n"/>
      <c r="K187" s="23" t="n"/>
      <c r="L187" s="44" t="n"/>
      <c r="M187" s="44" t="n"/>
      <c r="N187" s="44" t="n"/>
      <c r="O187" s="44" t="n"/>
      <c r="P187" s="44" t="n"/>
      <c r="Q187" s="44" t="n"/>
      <c r="R187" s="44" t="n"/>
      <c r="S187" s="44" t="n"/>
      <c r="T187" s="44" t="n"/>
      <c r="U187" s="44" t="n"/>
      <c r="V187" s="21">
        <f>IFERROR(ROUND((IF(Q187="Severe",4,IF(Q187="Moderate",3,IF(Q187="Minor",2,0)))+IF(R187="Severe",4,IF(R187="Moderate",3,IF(R187="Minor",2,0)))+IF(S187="Severe",4,IF(S187="Moderate",3,IF(S187="Minor",2,0)))+IF(T187="Severe",4,IF(T187="Moderate",3,IF(T187="Minor",2,0))))/16*100,0),"")</f>
        <v/>
      </c>
      <c r="W187" s="23" t="n"/>
      <c r="X187" s="44" t="n"/>
      <c r="Y187" s="44" t="n"/>
      <c r="Z187" s="44" t="n"/>
      <c r="AA187" s="22">
        <f>IFERROR(ROUND(IF(H187&gt;=10,30,IF(H187&gt;=5,20,IF(H187&gt;=2,10,0)))+IF(K187="Yes",20,IF(K187="Unsure",10,0))+IF(W187="Yes",30,IF(W187="Later",15,0))+IFERROR(V187/100*20,0)+IF(L187="Interested",15,IF(L187="Open But Busy",10,IF(L187="Neutral",5,0))),0),"")</f>
        <v/>
      </c>
      <c r="AB187" s="23">
        <f>IFERROR(IF(AA187&gt;=80,"🔥 HOT",IF(AA187&gt;=60,"✅ STRONG",IF(AA187&gt;=40,"⚡ WARM",IF(AA187&gt;=20,"📋 NURTURE",IF(AA187&gt;0,"❌ COLD",""))))),"")</f>
        <v/>
      </c>
      <c r="AC187" s="23">
        <f>IFERROR(IF(AND(AA187&gt;=60,OR(W187="Yes",W187="Later")),"🚨 URGENT",IF(AND(AA187&gt;=40,I187="Call Back"),"📞 CALL BACK",IF(I187="Booked Meeting","📅 BOOKED",IF(I187="Not Interested","🚫 DEAD","⏳ WORKING")))),"")</f>
        <v/>
      </c>
      <c r="AD187" s="45" t="n"/>
      <c r="AE187" s="37" t="n"/>
      <c r="AF187" s="25">
        <f>IFERROR(IF(AE187="","",AE187-TODAY()),"")</f>
        <v/>
      </c>
      <c r="AG187" s="44" t="n"/>
    </row>
    <row r="188" ht="19.5" customHeight="1" s="105">
      <c r="A188" s="40" t="n"/>
      <c r="B188" s="31" t="n"/>
      <c r="C188" s="31" t="n"/>
      <c r="D188" s="31" t="n"/>
      <c r="E188" s="40" t="n"/>
      <c r="F188" s="40" t="n"/>
      <c r="G188" s="40" t="n"/>
      <c r="H188" s="31" t="n"/>
      <c r="I188" s="40" t="n"/>
      <c r="J188" s="40" t="n"/>
      <c r="K188" s="31" t="n"/>
      <c r="L188" s="40" t="n"/>
      <c r="M188" s="40" t="n"/>
      <c r="N188" s="40" t="n"/>
      <c r="O188" s="40" t="n"/>
      <c r="P188" s="40" t="n"/>
      <c r="Q188" s="40" t="n"/>
      <c r="R188" s="40" t="n"/>
      <c r="S188" s="40" t="n"/>
      <c r="T188" s="40" t="n"/>
      <c r="U188" s="40" t="n"/>
      <c r="V188" s="29">
        <f>IFERROR(ROUND((IF(Q188="Severe",4,IF(Q188="Moderate",3,IF(Q188="Minor",2,0)))+IF(R188="Severe",4,IF(R188="Moderate",3,IF(R188="Minor",2,0)))+IF(S188="Severe",4,IF(S188="Moderate",3,IF(S188="Minor",2,0)))+IF(T188="Severe",4,IF(T188="Moderate",3,IF(T188="Minor",2,0))))/16*100,0),"")</f>
        <v/>
      </c>
      <c r="W188" s="31" t="n"/>
      <c r="X188" s="40" t="n"/>
      <c r="Y188" s="40" t="n"/>
      <c r="Z188" s="40" t="n"/>
      <c r="AA188" s="30">
        <f>IFERROR(ROUND(IF(H188&gt;=10,30,IF(H188&gt;=5,20,IF(H188&gt;=2,10,0)))+IF(K188="Yes",20,IF(K188="Unsure",10,0))+IF(W188="Yes",30,IF(W188="Later",15,0))+IFERROR(V188/100*20,0)+IF(L188="Interested",15,IF(L188="Open But Busy",10,IF(L188="Neutral",5,0))),0),"")</f>
        <v/>
      </c>
      <c r="AB188" s="31">
        <f>IFERROR(IF(AA188&gt;=80,"🔥 HOT",IF(AA188&gt;=60,"✅ STRONG",IF(AA188&gt;=40,"⚡ WARM",IF(AA188&gt;=20,"📋 NURTURE",IF(AA188&gt;0,"❌ COLD",""))))),"")</f>
        <v/>
      </c>
      <c r="AC188" s="31">
        <f>IFERROR(IF(AND(AA188&gt;=60,OR(W188="Yes",W188="Later")),"🚨 URGENT",IF(AND(AA188&gt;=40,I188="Call Back"),"📞 CALL BACK",IF(I188="Booked Meeting","📅 BOOKED",IF(I188="Not Interested","🚫 DEAD","⏳ WORKING")))),"")</f>
        <v/>
      </c>
      <c r="AD188" s="42" t="n"/>
      <c r="AE188" s="38" t="n"/>
      <c r="AF188" s="33">
        <f>IFERROR(IF(AE188="","",AE188-TODAY()),"")</f>
        <v/>
      </c>
      <c r="AG188" s="40" t="n"/>
    </row>
    <row r="189" ht="19.5" customHeight="1" s="105">
      <c r="A189" s="44" t="n"/>
      <c r="B189" s="23" t="n"/>
      <c r="C189" s="23" t="n"/>
      <c r="D189" s="23" t="n"/>
      <c r="E189" s="44" t="n"/>
      <c r="F189" s="44" t="n"/>
      <c r="G189" s="44" t="n"/>
      <c r="H189" s="23" t="n"/>
      <c r="I189" s="44" t="n"/>
      <c r="J189" s="44" t="n"/>
      <c r="K189" s="23" t="n"/>
      <c r="L189" s="44" t="n"/>
      <c r="M189" s="44" t="n"/>
      <c r="N189" s="44" t="n"/>
      <c r="O189" s="44" t="n"/>
      <c r="P189" s="44" t="n"/>
      <c r="Q189" s="44" t="n"/>
      <c r="R189" s="44" t="n"/>
      <c r="S189" s="44" t="n"/>
      <c r="T189" s="44" t="n"/>
      <c r="U189" s="44" t="n"/>
      <c r="V189" s="21">
        <f>IFERROR(ROUND((IF(Q189="Severe",4,IF(Q189="Moderate",3,IF(Q189="Minor",2,0)))+IF(R189="Severe",4,IF(R189="Moderate",3,IF(R189="Minor",2,0)))+IF(S189="Severe",4,IF(S189="Moderate",3,IF(S189="Minor",2,0)))+IF(T189="Severe",4,IF(T189="Moderate",3,IF(T189="Minor",2,0))))/16*100,0),"")</f>
        <v/>
      </c>
      <c r="W189" s="23" t="n"/>
      <c r="X189" s="44" t="n"/>
      <c r="Y189" s="44" t="n"/>
      <c r="Z189" s="44" t="n"/>
      <c r="AA189" s="22">
        <f>IFERROR(ROUND(IF(H189&gt;=10,30,IF(H189&gt;=5,20,IF(H189&gt;=2,10,0)))+IF(K189="Yes",20,IF(K189="Unsure",10,0))+IF(W189="Yes",30,IF(W189="Later",15,0))+IFERROR(V189/100*20,0)+IF(L189="Interested",15,IF(L189="Open But Busy",10,IF(L189="Neutral",5,0))),0),"")</f>
        <v/>
      </c>
      <c r="AB189" s="23">
        <f>IFERROR(IF(AA189&gt;=80,"🔥 HOT",IF(AA189&gt;=60,"✅ STRONG",IF(AA189&gt;=40,"⚡ WARM",IF(AA189&gt;=20,"📋 NURTURE",IF(AA189&gt;0,"❌ COLD",""))))),"")</f>
        <v/>
      </c>
      <c r="AC189" s="23">
        <f>IFERROR(IF(AND(AA189&gt;=60,OR(W189="Yes",W189="Later")),"🚨 URGENT",IF(AND(AA189&gt;=40,I189="Call Back"),"📞 CALL BACK",IF(I189="Booked Meeting","📅 BOOKED",IF(I189="Not Interested","🚫 DEAD","⏳ WORKING")))),"")</f>
        <v/>
      </c>
      <c r="AD189" s="45" t="n"/>
      <c r="AE189" s="37" t="n"/>
      <c r="AF189" s="25">
        <f>IFERROR(IF(AE189="","",AE189-TODAY()),"")</f>
        <v/>
      </c>
      <c r="AG189" s="44" t="n"/>
    </row>
    <row r="190" ht="19.5" customHeight="1" s="105">
      <c r="A190" s="40" t="n"/>
      <c r="B190" s="31" t="n"/>
      <c r="C190" s="31" t="n"/>
      <c r="D190" s="31" t="n"/>
      <c r="E190" s="40" t="n"/>
      <c r="F190" s="40" t="n"/>
      <c r="G190" s="40" t="n"/>
      <c r="H190" s="31" t="n"/>
      <c r="I190" s="40" t="n"/>
      <c r="J190" s="40" t="n"/>
      <c r="K190" s="31" t="n"/>
      <c r="L190" s="40" t="n"/>
      <c r="M190" s="40" t="n"/>
      <c r="N190" s="40" t="n"/>
      <c r="O190" s="40" t="n"/>
      <c r="P190" s="40" t="n"/>
      <c r="Q190" s="40" t="n"/>
      <c r="R190" s="40" t="n"/>
      <c r="S190" s="40" t="n"/>
      <c r="T190" s="40" t="n"/>
      <c r="U190" s="40" t="n"/>
      <c r="V190" s="29">
        <f>IFERROR(ROUND((IF(Q190="Severe",4,IF(Q190="Moderate",3,IF(Q190="Minor",2,0)))+IF(R190="Severe",4,IF(R190="Moderate",3,IF(R190="Minor",2,0)))+IF(S190="Severe",4,IF(S190="Moderate",3,IF(S190="Minor",2,0)))+IF(T190="Severe",4,IF(T190="Moderate",3,IF(T190="Minor",2,0))))/16*100,0),"")</f>
        <v/>
      </c>
      <c r="W190" s="31" t="n"/>
      <c r="X190" s="40" t="n"/>
      <c r="Y190" s="40" t="n"/>
      <c r="Z190" s="40" t="n"/>
      <c r="AA190" s="30">
        <f>IFERROR(ROUND(IF(H190&gt;=10,30,IF(H190&gt;=5,20,IF(H190&gt;=2,10,0)))+IF(K190="Yes",20,IF(K190="Unsure",10,0))+IF(W190="Yes",30,IF(W190="Later",15,0))+IFERROR(V190/100*20,0)+IF(L190="Interested",15,IF(L190="Open But Busy",10,IF(L190="Neutral",5,0))),0),"")</f>
        <v/>
      </c>
      <c r="AB190" s="31">
        <f>IFERROR(IF(AA190&gt;=80,"🔥 HOT",IF(AA190&gt;=60,"✅ STRONG",IF(AA190&gt;=40,"⚡ WARM",IF(AA190&gt;=20,"📋 NURTURE",IF(AA190&gt;0,"❌ COLD",""))))),"")</f>
        <v/>
      </c>
      <c r="AC190" s="31">
        <f>IFERROR(IF(AND(AA190&gt;=60,OR(W190="Yes",W190="Later")),"🚨 URGENT",IF(AND(AA190&gt;=40,I190="Call Back"),"📞 CALL BACK",IF(I190="Booked Meeting","📅 BOOKED",IF(I190="Not Interested","🚫 DEAD","⏳ WORKING")))),"")</f>
        <v/>
      </c>
      <c r="AD190" s="42" t="n"/>
      <c r="AE190" s="38" t="n"/>
      <c r="AF190" s="33">
        <f>IFERROR(IF(AE190="","",AE190-TODAY()),"")</f>
        <v/>
      </c>
      <c r="AG190" s="40" t="n"/>
    </row>
    <row r="191" ht="19.5" customHeight="1" s="105">
      <c r="A191" s="44" t="n"/>
      <c r="B191" s="23" t="n"/>
      <c r="C191" s="23" t="n"/>
      <c r="D191" s="23" t="n"/>
      <c r="E191" s="44" t="n"/>
      <c r="F191" s="44" t="n"/>
      <c r="G191" s="44" t="n"/>
      <c r="H191" s="23" t="n"/>
      <c r="I191" s="44" t="n"/>
      <c r="J191" s="44" t="n"/>
      <c r="K191" s="23" t="n"/>
      <c r="L191" s="44" t="n"/>
      <c r="M191" s="44" t="n"/>
      <c r="N191" s="44" t="n"/>
      <c r="O191" s="44" t="n"/>
      <c r="P191" s="44" t="n"/>
      <c r="Q191" s="44" t="n"/>
      <c r="R191" s="44" t="n"/>
      <c r="S191" s="44" t="n"/>
      <c r="T191" s="44" t="n"/>
      <c r="U191" s="44" t="n"/>
      <c r="V191" s="21">
        <f>IFERROR(ROUND((IF(Q191="Severe",4,IF(Q191="Moderate",3,IF(Q191="Minor",2,0)))+IF(R191="Severe",4,IF(R191="Moderate",3,IF(R191="Minor",2,0)))+IF(S191="Severe",4,IF(S191="Moderate",3,IF(S191="Minor",2,0)))+IF(T191="Severe",4,IF(T191="Moderate",3,IF(T191="Minor",2,0))))/16*100,0),"")</f>
        <v/>
      </c>
      <c r="W191" s="23" t="n"/>
      <c r="X191" s="44" t="n"/>
      <c r="Y191" s="44" t="n"/>
      <c r="Z191" s="44" t="n"/>
      <c r="AA191" s="22">
        <f>IFERROR(ROUND(IF(H191&gt;=10,30,IF(H191&gt;=5,20,IF(H191&gt;=2,10,0)))+IF(K191="Yes",20,IF(K191="Unsure",10,0))+IF(W191="Yes",30,IF(W191="Later",15,0))+IFERROR(V191/100*20,0)+IF(L191="Interested",15,IF(L191="Open But Busy",10,IF(L191="Neutral",5,0))),0),"")</f>
        <v/>
      </c>
      <c r="AB191" s="23">
        <f>IFERROR(IF(AA191&gt;=80,"🔥 HOT",IF(AA191&gt;=60,"✅ STRONG",IF(AA191&gt;=40,"⚡ WARM",IF(AA191&gt;=20,"📋 NURTURE",IF(AA191&gt;0,"❌ COLD",""))))),"")</f>
        <v/>
      </c>
      <c r="AC191" s="23">
        <f>IFERROR(IF(AND(AA191&gt;=60,OR(W191="Yes",W191="Later")),"🚨 URGENT",IF(AND(AA191&gt;=40,I191="Call Back"),"📞 CALL BACK",IF(I191="Booked Meeting","📅 BOOKED",IF(I191="Not Interested","🚫 DEAD","⏳ WORKING")))),"")</f>
        <v/>
      </c>
      <c r="AD191" s="45" t="n"/>
      <c r="AE191" s="37" t="n"/>
      <c r="AF191" s="25">
        <f>IFERROR(IF(AE191="","",AE191-TODAY()),"")</f>
        <v/>
      </c>
      <c r="AG191" s="44" t="n"/>
    </row>
    <row r="192" ht="19.5" customHeight="1" s="105">
      <c r="A192" s="40" t="n"/>
      <c r="B192" s="31" t="n"/>
      <c r="C192" s="31" t="n"/>
      <c r="D192" s="31" t="n"/>
      <c r="E192" s="40" t="n"/>
      <c r="F192" s="40" t="n"/>
      <c r="G192" s="40" t="n"/>
      <c r="H192" s="31" t="n"/>
      <c r="I192" s="40" t="n"/>
      <c r="J192" s="40" t="n"/>
      <c r="K192" s="31" t="n"/>
      <c r="L192" s="40" t="n"/>
      <c r="M192" s="40" t="n"/>
      <c r="N192" s="40" t="n"/>
      <c r="O192" s="40" t="n"/>
      <c r="P192" s="40" t="n"/>
      <c r="Q192" s="40" t="n"/>
      <c r="R192" s="40" t="n"/>
      <c r="S192" s="40" t="n"/>
      <c r="T192" s="40" t="n"/>
      <c r="U192" s="40" t="n"/>
      <c r="V192" s="29">
        <f>IFERROR(ROUND((IF(Q192="Severe",4,IF(Q192="Moderate",3,IF(Q192="Minor",2,0)))+IF(R192="Severe",4,IF(R192="Moderate",3,IF(R192="Minor",2,0)))+IF(S192="Severe",4,IF(S192="Moderate",3,IF(S192="Minor",2,0)))+IF(T192="Severe",4,IF(T192="Moderate",3,IF(T192="Minor",2,0))))/16*100,0),"")</f>
        <v/>
      </c>
      <c r="W192" s="31" t="n"/>
      <c r="X192" s="40" t="n"/>
      <c r="Y192" s="40" t="n"/>
      <c r="Z192" s="40" t="n"/>
      <c r="AA192" s="30">
        <f>IFERROR(ROUND(IF(H192&gt;=10,30,IF(H192&gt;=5,20,IF(H192&gt;=2,10,0)))+IF(K192="Yes",20,IF(K192="Unsure",10,0))+IF(W192="Yes",30,IF(W192="Later",15,0))+IFERROR(V192/100*20,0)+IF(L192="Interested",15,IF(L192="Open But Busy",10,IF(L192="Neutral",5,0))),0),"")</f>
        <v/>
      </c>
      <c r="AB192" s="31">
        <f>IFERROR(IF(AA192&gt;=80,"🔥 HOT",IF(AA192&gt;=60,"✅ STRONG",IF(AA192&gt;=40,"⚡ WARM",IF(AA192&gt;=20,"📋 NURTURE",IF(AA192&gt;0,"❌ COLD",""))))),"")</f>
        <v/>
      </c>
      <c r="AC192" s="31">
        <f>IFERROR(IF(AND(AA192&gt;=60,OR(W192="Yes",W192="Later")),"🚨 URGENT",IF(AND(AA192&gt;=40,I192="Call Back"),"📞 CALL BACK",IF(I192="Booked Meeting","📅 BOOKED",IF(I192="Not Interested","🚫 DEAD","⏳ WORKING")))),"")</f>
        <v/>
      </c>
      <c r="AD192" s="42" t="n"/>
      <c r="AE192" s="38" t="n"/>
      <c r="AF192" s="33">
        <f>IFERROR(IF(AE192="","",AE192-TODAY()),"")</f>
        <v/>
      </c>
      <c r="AG192" s="40" t="n"/>
    </row>
    <row r="193" ht="19.5" customHeight="1" s="105">
      <c r="A193" s="44" t="n"/>
      <c r="B193" s="23" t="n"/>
      <c r="C193" s="23" t="n"/>
      <c r="D193" s="23" t="n"/>
      <c r="E193" s="44" t="n"/>
      <c r="F193" s="44" t="n"/>
      <c r="G193" s="44" t="n"/>
      <c r="H193" s="23" t="n"/>
      <c r="I193" s="44" t="n"/>
      <c r="J193" s="44" t="n"/>
      <c r="K193" s="23" t="n"/>
      <c r="L193" s="44" t="n"/>
      <c r="M193" s="44" t="n"/>
      <c r="N193" s="44" t="n"/>
      <c r="O193" s="44" t="n"/>
      <c r="P193" s="44" t="n"/>
      <c r="Q193" s="44" t="n"/>
      <c r="R193" s="44" t="n"/>
      <c r="S193" s="44" t="n"/>
      <c r="T193" s="44" t="n"/>
      <c r="U193" s="44" t="n"/>
      <c r="V193" s="21">
        <f>IFERROR(ROUND((IF(Q193="Severe",4,IF(Q193="Moderate",3,IF(Q193="Minor",2,0)))+IF(R193="Severe",4,IF(R193="Moderate",3,IF(R193="Minor",2,0)))+IF(S193="Severe",4,IF(S193="Moderate",3,IF(S193="Minor",2,0)))+IF(T193="Severe",4,IF(T193="Moderate",3,IF(T193="Minor",2,0))))/16*100,0),"")</f>
        <v/>
      </c>
      <c r="W193" s="23" t="n"/>
      <c r="X193" s="44" t="n"/>
      <c r="Y193" s="44" t="n"/>
      <c r="Z193" s="44" t="n"/>
      <c r="AA193" s="22">
        <f>IFERROR(ROUND(IF(H193&gt;=10,30,IF(H193&gt;=5,20,IF(H193&gt;=2,10,0)))+IF(K193="Yes",20,IF(K193="Unsure",10,0))+IF(W193="Yes",30,IF(W193="Later",15,0))+IFERROR(V193/100*20,0)+IF(L193="Interested",15,IF(L193="Open But Busy",10,IF(L193="Neutral",5,0))),0),"")</f>
        <v/>
      </c>
      <c r="AB193" s="23">
        <f>IFERROR(IF(AA193&gt;=80,"🔥 HOT",IF(AA193&gt;=60,"✅ STRONG",IF(AA193&gt;=40,"⚡ WARM",IF(AA193&gt;=20,"📋 NURTURE",IF(AA193&gt;0,"❌ COLD",""))))),"")</f>
        <v/>
      </c>
      <c r="AC193" s="23">
        <f>IFERROR(IF(AND(AA193&gt;=60,OR(W193="Yes",W193="Later")),"🚨 URGENT",IF(AND(AA193&gt;=40,I193="Call Back"),"📞 CALL BACK",IF(I193="Booked Meeting","📅 BOOKED",IF(I193="Not Interested","🚫 DEAD","⏳ WORKING")))),"")</f>
        <v/>
      </c>
      <c r="AD193" s="45" t="n"/>
      <c r="AE193" s="37" t="n"/>
      <c r="AF193" s="25">
        <f>IFERROR(IF(AE193="","",AE193-TODAY()),"")</f>
        <v/>
      </c>
      <c r="AG193" s="44" t="n"/>
    </row>
    <row r="194" ht="19.5" customHeight="1" s="105">
      <c r="A194" s="40" t="n"/>
      <c r="B194" s="31" t="n"/>
      <c r="C194" s="31" t="n"/>
      <c r="D194" s="31" t="n"/>
      <c r="E194" s="40" t="n"/>
      <c r="F194" s="40" t="n"/>
      <c r="G194" s="40" t="n"/>
      <c r="H194" s="31" t="n"/>
      <c r="I194" s="40" t="n"/>
      <c r="J194" s="40" t="n"/>
      <c r="K194" s="31" t="n"/>
      <c r="L194" s="40" t="n"/>
      <c r="M194" s="40" t="n"/>
      <c r="N194" s="40" t="n"/>
      <c r="O194" s="40" t="n"/>
      <c r="P194" s="40" t="n"/>
      <c r="Q194" s="40" t="n"/>
      <c r="R194" s="40" t="n"/>
      <c r="S194" s="40" t="n"/>
      <c r="T194" s="40" t="n"/>
      <c r="U194" s="40" t="n"/>
      <c r="V194" s="29">
        <f>IFERROR(ROUND((IF(Q194="Severe",4,IF(Q194="Moderate",3,IF(Q194="Minor",2,0)))+IF(R194="Severe",4,IF(R194="Moderate",3,IF(R194="Minor",2,0)))+IF(S194="Severe",4,IF(S194="Moderate",3,IF(S194="Minor",2,0)))+IF(T194="Severe",4,IF(T194="Moderate",3,IF(T194="Minor",2,0))))/16*100,0),"")</f>
        <v/>
      </c>
      <c r="W194" s="31" t="n"/>
      <c r="X194" s="40" t="n"/>
      <c r="Y194" s="40" t="n"/>
      <c r="Z194" s="40" t="n"/>
      <c r="AA194" s="30">
        <f>IFERROR(ROUND(IF(H194&gt;=10,30,IF(H194&gt;=5,20,IF(H194&gt;=2,10,0)))+IF(K194="Yes",20,IF(K194="Unsure",10,0))+IF(W194="Yes",30,IF(W194="Later",15,0))+IFERROR(V194/100*20,0)+IF(L194="Interested",15,IF(L194="Open But Busy",10,IF(L194="Neutral",5,0))),0),"")</f>
        <v/>
      </c>
      <c r="AB194" s="31">
        <f>IFERROR(IF(AA194&gt;=80,"🔥 HOT",IF(AA194&gt;=60,"✅ STRONG",IF(AA194&gt;=40,"⚡ WARM",IF(AA194&gt;=20,"📋 NURTURE",IF(AA194&gt;0,"❌ COLD",""))))),"")</f>
        <v/>
      </c>
      <c r="AC194" s="31">
        <f>IFERROR(IF(AND(AA194&gt;=60,OR(W194="Yes",W194="Later")),"🚨 URGENT",IF(AND(AA194&gt;=40,I194="Call Back"),"📞 CALL BACK",IF(I194="Booked Meeting","📅 BOOKED",IF(I194="Not Interested","🚫 DEAD","⏳ WORKING")))),"")</f>
        <v/>
      </c>
      <c r="AD194" s="42" t="n"/>
      <c r="AE194" s="38" t="n"/>
      <c r="AF194" s="33">
        <f>IFERROR(IF(AE194="","",AE194-TODAY()),"")</f>
        <v/>
      </c>
      <c r="AG194" s="40" t="n"/>
    </row>
    <row r="195" ht="19.5" customHeight="1" s="105">
      <c r="A195" s="44" t="n"/>
      <c r="B195" s="23" t="n"/>
      <c r="C195" s="23" t="n"/>
      <c r="D195" s="23" t="n"/>
      <c r="E195" s="44" t="n"/>
      <c r="F195" s="44" t="n"/>
      <c r="G195" s="44" t="n"/>
      <c r="H195" s="23" t="n"/>
      <c r="I195" s="44" t="n"/>
      <c r="J195" s="44" t="n"/>
      <c r="K195" s="23" t="n"/>
      <c r="L195" s="44" t="n"/>
      <c r="M195" s="44" t="n"/>
      <c r="N195" s="44" t="n"/>
      <c r="O195" s="44" t="n"/>
      <c r="P195" s="44" t="n"/>
      <c r="Q195" s="44" t="n"/>
      <c r="R195" s="44" t="n"/>
      <c r="S195" s="44" t="n"/>
      <c r="T195" s="44" t="n"/>
      <c r="U195" s="44" t="n"/>
      <c r="V195" s="21">
        <f>IFERROR(ROUND((IF(Q195="Severe",4,IF(Q195="Moderate",3,IF(Q195="Minor",2,0)))+IF(R195="Severe",4,IF(R195="Moderate",3,IF(R195="Minor",2,0)))+IF(S195="Severe",4,IF(S195="Moderate",3,IF(S195="Minor",2,0)))+IF(T195="Severe",4,IF(T195="Moderate",3,IF(T195="Minor",2,0))))/16*100,0),"")</f>
        <v/>
      </c>
      <c r="W195" s="23" t="n"/>
      <c r="X195" s="44" t="n"/>
      <c r="Y195" s="44" t="n"/>
      <c r="Z195" s="44" t="n"/>
      <c r="AA195" s="22">
        <f>IFERROR(ROUND(IF(H195&gt;=10,30,IF(H195&gt;=5,20,IF(H195&gt;=2,10,0)))+IF(K195="Yes",20,IF(K195="Unsure",10,0))+IF(W195="Yes",30,IF(W195="Later",15,0))+IFERROR(V195/100*20,0)+IF(L195="Interested",15,IF(L195="Open But Busy",10,IF(L195="Neutral",5,0))),0),"")</f>
        <v/>
      </c>
      <c r="AB195" s="23">
        <f>IFERROR(IF(AA195&gt;=80,"🔥 HOT",IF(AA195&gt;=60,"✅ STRONG",IF(AA195&gt;=40,"⚡ WARM",IF(AA195&gt;=20,"📋 NURTURE",IF(AA195&gt;0,"❌ COLD",""))))),"")</f>
        <v/>
      </c>
      <c r="AC195" s="23">
        <f>IFERROR(IF(AND(AA195&gt;=60,OR(W195="Yes",W195="Later")),"🚨 URGENT",IF(AND(AA195&gt;=40,I195="Call Back"),"📞 CALL BACK",IF(I195="Booked Meeting","📅 BOOKED",IF(I195="Not Interested","🚫 DEAD","⏳ WORKING")))),"")</f>
        <v/>
      </c>
      <c r="AD195" s="45" t="n"/>
      <c r="AE195" s="37" t="n"/>
      <c r="AF195" s="25">
        <f>IFERROR(IF(AE195="","",AE195-TODAY()),"")</f>
        <v/>
      </c>
      <c r="AG195" s="44" t="n"/>
    </row>
    <row r="196" ht="19.5" customHeight="1" s="105">
      <c r="A196" s="40" t="n"/>
      <c r="B196" s="31" t="n"/>
      <c r="C196" s="31" t="n"/>
      <c r="D196" s="31" t="n"/>
      <c r="E196" s="40" t="n"/>
      <c r="F196" s="40" t="n"/>
      <c r="G196" s="40" t="n"/>
      <c r="H196" s="31" t="n"/>
      <c r="I196" s="40" t="n"/>
      <c r="J196" s="40" t="n"/>
      <c r="K196" s="31" t="n"/>
      <c r="L196" s="40" t="n"/>
      <c r="M196" s="40" t="n"/>
      <c r="N196" s="40" t="n"/>
      <c r="O196" s="40" t="n"/>
      <c r="P196" s="40" t="n"/>
      <c r="Q196" s="40" t="n"/>
      <c r="R196" s="40" t="n"/>
      <c r="S196" s="40" t="n"/>
      <c r="T196" s="40" t="n"/>
      <c r="U196" s="40" t="n"/>
      <c r="V196" s="29">
        <f>IFERROR(ROUND((IF(Q196="Severe",4,IF(Q196="Moderate",3,IF(Q196="Minor",2,0)))+IF(R196="Severe",4,IF(R196="Moderate",3,IF(R196="Minor",2,0)))+IF(S196="Severe",4,IF(S196="Moderate",3,IF(S196="Minor",2,0)))+IF(T196="Severe",4,IF(T196="Moderate",3,IF(T196="Minor",2,0))))/16*100,0),"")</f>
        <v/>
      </c>
      <c r="W196" s="31" t="n"/>
      <c r="X196" s="40" t="n"/>
      <c r="Y196" s="40" t="n"/>
      <c r="Z196" s="40" t="n"/>
      <c r="AA196" s="30">
        <f>IFERROR(ROUND(IF(H196&gt;=10,30,IF(H196&gt;=5,20,IF(H196&gt;=2,10,0)))+IF(K196="Yes",20,IF(K196="Unsure",10,0))+IF(W196="Yes",30,IF(W196="Later",15,0))+IFERROR(V196/100*20,0)+IF(L196="Interested",15,IF(L196="Open But Busy",10,IF(L196="Neutral",5,0))),0),"")</f>
        <v/>
      </c>
      <c r="AB196" s="31">
        <f>IFERROR(IF(AA196&gt;=80,"🔥 HOT",IF(AA196&gt;=60,"✅ STRONG",IF(AA196&gt;=40,"⚡ WARM",IF(AA196&gt;=20,"📋 NURTURE",IF(AA196&gt;0,"❌ COLD",""))))),"")</f>
        <v/>
      </c>
      <c r="AC196" s="31">
        <f>IFERROR(IF(AND(AA196&gt;=60,OR(W196="Yes",W196="Later")),"🚨 URGENT",IF(AND(AA196&gt;=40,I196="Call Back"),"📞 CALL BACK",IF(I196="Booked Meeting","📅 BOOKED",IF(I196="Not Interested","🚫 DEAD","⏳ WORKING")))),"")</f>
        <v/>
      </c>
      <c r="AD196" s="42" t="n"/>
      <c r="AE196" s="38" t="n"/>
      <c r="AF196" s="33">
        <f>IFERROR(IF(AE196="","",AE196-TODAY()),"")</f>
        <v/>
      </c>
      <c r="AG196" s="40" t="n"/>
    </row>
    <row r="197" ht="19.5" customHeight="1" s="105">
      <c r="A197" s="44" t="n"/>
      <c r="B197" s="23" t="n"/>
      <c r="C197" s="23" t="n"/>
      <c r="D197" s="23" t="n"/>
      <c r="E197" s="44" t="n"/>
      <c r="F197" s="44" t="n"/>
      <c r="G197" s="44" t="n"/>
      <c r="H197" s="23" t="n"/>
      <c r="I197" s="44" t="n"/>
      <c r="J197" s="44" t="n"/>
      <c r="K197" s="23" t="n"/>
      <c r="L197" s="44" t="n"/>
      <c r="M197" s="44" t="n"/>
      <c r="N197" s="44" t="n"/>
      <c r="O197" s="44" t="n"/>
      <c r="P197" s="44" t="n"/>
      <c r="Q197" s="44" t="n"/>
      <c r="R197" s="44" t="n"/>
      <c r="S197" s="44" t="n"/>
      <c r="T197" s="44" t="n"/>
      <c r="U197" s="44" t="n"/>
      <c r="V197" s="21">
        <f>IFERROR(ROUND((IF(Q197="Severe",4,IF(Q197="Moderate",3,IF(Q197="Minor",2,0)))+IF(R197="Severe",4,IF(R197="Moderate",3,IF(R197="Minor",2,0)))+IF(S197="Severe",4,IF(S197="Moderate",3,IF(S197="Minor",2,0)))+IF(T197="Severe",4,IF(T197="Moderate",3,IF(T197="Minor",2,0))))/16*100,0),"")</f>
        <v/>
      </c>
      <c r="W197" s="23" t="n"/>
      <c r="X197" s="44" t="n"/>
      <c r="Y197" s="44" t="n"/>
      <c r="Z197" s="44" t="n"/>
      <c r="AA197" s="22">
        <f>IFERROR(ROUND(IF(H197&gt;=10,30,IF(H197&gt;=5,20,IF(H197&gt;=2,10,0)))+IF(K197="Yes",20,IF(K197="Unsure",10,0))+IF(W197="Yes",30,IF(W197="Later",15,0))+IFERROR(V197/100*20,0)+IF(L197="Interested",15,IF(L197="Open But Busy",10,IF(L197="Neutral",5,0))),0),"")</f>
        <v/>
      </c>
      <c r="AB197" s="23">
        <f>IFERROR(IF(AA197&gt;=80,"🔥 HOT",IF(AA197&gt;=60,"✅ STRONG",IF(AA197&gt;=40,"⚡ WARM",IF(AA197&gt;=20,"📋 NURTURE",IF(AA197&gt;0,"❌ COLD",""))))),"")</f>
        <v/>
      </c>
      <c r="AC197" s="23">
        <f>IFERROR(IF(AND(AA197&gt;=60,OR(W197="Yes",W197="Later")),"🚨 URGENT",IF(AND(AA197&gt;=40,I197="Call Back"),"📞 CALL BACK",IF(I197="Booked Meeting","📅 BOOKED",IF(I197="Not Interested","🚫 DEAD","⏳ WORKING")))),"")</f>
        <v/>
      </c>
      <c r="AD197" s="45" t="n"/>
      <c r="AE197" s="37" t="n"/>
      <c r="AF197" s="25">
        <f>IFERROR(IF(AE197="","",AE197-TODAY()),"")</f>
        <v/>
      </c>
      <c r="AG197" s="44" t="n"/>
    </row>
    <row r="198" ht="19.5" customHeight="1" s="105">
      <c r="A198" s="40" t="n"/>
      <c r="B198" s="31" t="n"/>
      <c r="C198" s="31" t="n"/>
      <c r="D198" s="31" t="n"/>
      <c r="E198" s="40" t="n"/>
      <c r="F198" s="40" t="n"/>
      <c r="G198" s="40" t="n"/>
      <c r="H198" s="31" t="n"/>
      <c r="I198" s="40" t="n"/>
      <c r="J198" s="40" t="n"/>
      <c r="K198" s="31" t="n"/>
      <c r="L198" s="40" t="n"/>
      <c r="M198" s="40" t="n"/>
      <c r="N198" s="40" t="n"/>
      <c r="O198" s="40" t="n"/>
      <c r="P198" s="40" t="n"/>
      <c r="Q198" s="40" t="n"/>
      <c r="R198" s="40" t="n"/>
      <c r="S198" s="40" t="n"/>
      <c r="T198" s="40" t="n"/>
      <c r="U198" s="40" t="n"/>
      <c r="V198" s="29">
        <f>IFERROR(ROUND((IF(Q198="Severe",4,IF(Q198="Moderate",3,IF(Q198="Minor",2,0)))+IF(R198="Severe",4,IF(R198="Moderate",3,IF(R198="Minor",2,0)))+IF(S198="Severe",4,IF(S198="Moderate",3,IF(S198="Minor",2,0)))+IF(T198="Severe",4,IF(T198="Moderate",3,IF(T198="Minor",2,0))))/16*100,0),"")</f>
        <v/>
      </c>
      <c r="W198" s="31" t="n"/>
      <c r="X198" s="40" t="n"/>
      <c r="Y198" s="40" t="n"/>
      <c r="Z198" s="40" t="n"/>
      <c r="AA198" s="30">
        <f>IFERROR(ROUND(IF(H198&gt;=10,30,IF(H198&gt;=5,20,IF(H198&gt;=2,10,0)))+IF(K198="Yes",20,IF(K198="Unsure",10,0))+IF(W198="Yes",30,IF(W198="Later",15,0))+IFERROR(V198/100*20,0)+IF(L198="Interested",15,IF(L198="Open But Busy",10,IF(L198="Neutral",5,0))),0),"")</f>
        <v/>
      </c>
      <c r="AB198" s="31">
        <f>IFERROR(IF(AA198&gt;=80,"🔥 HOT",IF(AA198&gt;=60,"✅ STRONG",IF(AA198&gt;=40,"⚡ WARM",IF(AA198&gt;=20,"📋 NURTURE",IF(AA198&gt;0,"❌ COLD",""))))),"")</f>
        <v/>
      </c>
      <c r="AC198" s="31">
        <f>IFERROR(IF(AND(AA198&gt;=60,OR(W198="Yes",W198="Later")),"🚨 URGENT",IF(AND(AA198&gt;=40,I198="Call Back"),"📞 CALL BACK",IF(I198="Booked Meeting","📅 BOOKED",IF(I198="Not Interested","🚫 DEAD","⏳ WORKING")))),"")</f>
        <v/>
      </c>
      <c r="AD198" s="42" t="n"/>
      <c r="AE198" s="38" t="n"/>
      <c r="AF198" s="33">
        <f>IFERROR(IF(AE198="","",AE198-TODAY()),"")</f>
        <v/>
      </c>
      <c r="AG198" s="40" t="n"/>
    </row>
    <row r="199" ht="19.5" customHeight="1" s="105">
      <c r="A199" s="44" t="n"/>
      <c r="B199" s="23" t="n"/>
      <c r="C199" s="23" t="n"/>
      <c r="D199" s="23" t="n"/>
      <c r="E199" s="44" t="n"/>
      <c r="F199" s="44" t="n"/>
      <c r="G199" s="44" t="n"/>
      <c r="H199" s="23" t="n"/>
      <c r="I199" s="44" t="n"/>
      <c r="J199" s="44" t="n"/>
      <c r="K199" s="23" t="n"/>
      <c r="L199" s="44" t="n"/>
      <c r="M199" s="44" t="n"/>
      <c r="N199" s="44" t="n"/>
      <c r="O199" s="44" t="n"/>
      <c r="P199" s="44" t="n"/>
      <c r="Q199" s="44" t="n"/>
      <c r="R199" s="44" t="n"/>
      <c r="S199" s="44" t="n"/>
      <c r="T199" s="44" t="n"/>
      <c r="U199" s="44" t="n"/>
      <c r="V199" s="21">
        <f>IFERROR(ROUND((IF(Q199="Severe",4,IF(Q199="Moderate",3,IF(Q199="Minor",2,0)))+IF(R199="Severe",4,IF(R199="Moderate",3,IF(R199="Minor",2,0)))+IF(S199="Severe",4,IF(S199="Moderate",3,IF(S199="Minor",2,0)))+IF(T199="Severe",4,IF(T199="Moderate",3,IF(T199="Minor",2,0))))/16*100,0),"")</f>
        <v/>
      </c>
      <c r="W199" s="23" t="n"/>
      <c r="X199" s="44" t="n"/>
      <c r="Y199" s="44" t="n"/>
      <c r="Z199" s="44" t="n"/>
      <c r="AA199" s="22">
        <f>IFERROR(ROUND(IF(H199&gt;=10,30,IF(H199&gt;=5,20,IF(H199&gt;=2,10,0)))+IF(K199="Yes",20,IF(K199="Unsure",10,0))+IF(W199="Yes",30,IF(W199="Later",15,0))+IFERROR(V199/100*20,0)+IF(L199="Interested",15,IF(L199="Open But Busy",10,IF(L199="Neutral",5,0))),0),"")</f>
        <v/>
      </c>
      <c r="AB199" s="23">
        <f>IFERROR(IF(AA199&gt;=80,"🔥 HOT",IF(AA199&gt;=60,"✅ STRONG",IF(AA199&gt;=40,"⚡ WARM",IF(AA199&gt;=20,"📋 NURTURE",IF(AA199&gt;0,"❌ COLD",""))))),"")</f>
        <v/>
      </c>
      <c r="AC199" s="23">
        <f>IFERROR(IF(AND(AA199&gt;=60,OR(W199="Yes",W199="Later")),"🚨 URGENT",IF(AND(AA199&gt;=40,I199="Call Back"),"📞 CALL BACK",IF(I199="Booked Meeting","📅 BOOKED",IF(I199="Not Interested","🚫 DEAD","⏳ WORKING")))),"")</f>
        <v/>
      </c>
      <c r="AD199" s="45" t="n"/>
      <c r="AE199" s="37" t="n"/>
      <c r="AF199" s="25">
        <f>IFERROR(IF(AE199="","",AE199-TODAY()),"")</f>
        <v/>
      </c>
      <c r="AG199" s="44" t="n"/>
    </row>
    <row r="200" ht="19.5" customHeight="1" s="105">
      <c r="A200" s="40" t="n"/>
      <c r="B200" s="31" t="n"/>
      <c r="C200" s="31" t="n"/>
      <c r="D200" s="31" t="n"/>
      <c r="E200" s="40" t="n"/>
      <c r="F200" s="40" t="n"/>
      <c r="G200" s="40" t="n"/>
      <c r="H200" s="31" t="n"/>
      <c r="I200" s="40" t="n"/>
      <c r="J200" s="40" t="n"/>
      <c r="K200" s="31" t="n"/>
      <c r="L200" s="40" t="n"/>
      <c r="M200" s="40" t="n"/>
      <c r="N200" s="40" t="n"/>
      <c r="O200" s="40" t="n"/>
      <c r="P200" s="40" t="n"/>
      <c r="Q200" s="40" t="n"/>
      <c r="R200" s="40" t="n"/>
      <c r="S200" s="40" t="n"/>
      <c r="T200" s="40" t="n"/>
      <c r="U200" s="40" t="n"/>
      <c r="V200" s="29">
        <f>IFERROR(ROUND((IF(Q200="Severe",4,IF(Q200="Moderate",3,IF(Q200="Minor",2,0)))+IF(R200="Severe",4,IF(R200="Moderate",3,IF(R200="Minor",2,0)))+IF(S200="Severe",4,IF(S200="Moderate",3,IF(S200="Minor",2,0)))+IF(T200="Severe",4,IF(T200="Moderate",3,IF(T200="Minor",2,0))))/16*100,0),"")</f>
        <v/>
      </c>
      <c r="W200" s="31" t="n"/>
      <c r="X200" s="40" t="n"/>
      <c r="Y200" s="40" t="n"/>
      <c r="Z200" s="40" t="n"/>
      <c r="AA200" s="30">
        <f>IFERROR(ROUND(IF(H200&gt;=10,30,IF(H200&gt;=5,20,IF(H200&gt;=2,10,0)))+IF(K200="Yes",20,IF(K200="Unsure",10,0))+IF(W200="Yes",30,IF(W200="Later",15,0))+IFERROR(V200/100*20,0)+IF(L200="Interested",15,IF(L200="Open But Busy",10,IF(L200="Neutral",5,0))),0),"")</f>
        <v/>
      </c>
      <c r="AB200" s="31">
        <f>IFERROR(IF(AA200&gt;=80,"🔥 HOT",IF(AA200&gt;=60,"✅ STRONG",IF(AA200&gt;=40,"⚡ WARM",IF(AA200&gt;=20,"📋 NURTURE",IF(AA200&gt;0,"❌ COLD",""))))),"")</f>
        <v/>
      </c>
      <c r="AC200" s="31">
        <f>IFERROR(IF(AND(AA200&gt;=60,OR(W200="Yes",W200="Later")),"🚨 URGENT",IF(AND(AA200&gt;=40,I200="Call Back"),"📞 CALL BACK",IF(I200="Booked Meeting","📅 BOOKED",IF(I200="Not Interested","🚫 DEAD","⏳ WORKING")))),"")</f>
        <v/>
      </c>
      <c r="AD200" s="42" t="n"/>
      <c r="AE200" s="38" t="n"/>
      <c r="AF200" s="33">
        <f>IFERROR(IF(AE200="","",AE200-TODAY()),"")</f>
        <v/>
      </c>
      <c r="AG200" s="40" t="n"/>
    </row>
    <row r="201" ht="19.5" customHeight="1" s="105">
      <c r="A201" s="44" t="n"/>
      <c r="B201" s="23" t="n"/>
      <c r="C201" s="23" t="n"/>
      <c r="D201" s="23" t="n"/>
      <c r="E201" s="44" t="n"/>
      <c r="F201" s="44" t="n"/>
      <c r="G201" s="44" t="n"/>
      <c r="H201" s="23" t="n"/>
      <c r="I201" s="44" t="n"/>
      <c r="J201" s="44" t="n"/>
      <c r="K201" s="23" t="n"/>
      <c r="L201" s="44" t="n"/>
      <c r="M201" s="44" t="n"/>
      <c r="N201" s="44" t="n"/>
      <c r="O201" s="44" t="n"/>
      <c r="P201" s="44" t="n"/>
      <c r="Q201" s="44" t="n"/>
      <c r="R201" s="44" t="n"/>
      <c r="S201" s="44" t="n"/>
      <c r="T201" s="44" t="n"/>
      <c r="U201" s="44" t="n"/>
      <c r="V201" s="21">
        <f>IFERROR(ROUND((IF(Q201="Severe",4,IF(Q201="Moderate",3,IF(Q201="Minor",2,0)))+IF(R201="Severe",4,IF(R201="Moderate",3,IF(R201="Minor",2,0)))+IF(S201="Severe",4,IF(S201="Moderate",3,IF(S201="Minor",2,0)))+IF(T201="Severe",4,IF(T201="Moderate",3,IF(T201="Minor",2,0))))/16*100,0),"")</f>
        <v/>
      </c>
      <c r="W201" s="23" t="n"/>
      <c r="X201" s="44" t="n"/>
      <c r="Y201" s="44" t="n"/>
      <c r="Z201" s="44" t="n"/>
      <c r="AA201" s="22">
        <f>IFERROR(ROUND(IF(H201&gt;=10,30,IF(H201&gt;=5,20,IF(H201&gt;=2,10,0)))+IF(K201="Yes",20,IF(K201="Unsure",10,0))+IF(W201="Yes",30,IF(W201="Later",15,0))+IFERROR(V201/100*20,0)+IF(L201="Interested",15,IF(L201="Open But Busy",10,IF(L201="Neutral",5,0))),0),"")</f>
        <v/>
      </c>
      <c r="AB201" s="23">
        <f>IFERROR(IF(AA201&gt;=80,"🔥 HOT",IF(AA201&gt;=60,"✅ STRONG",IF(AA201&gt;=40,"⚡ WARM",IF(AA201&gt;=20,"📋 NURTURE",IF(AA201&gt;0,"❌ COLD",""))))),"")</f>
        <v/>
      </c>
      <c r="AC201" s="23">
        <f>IFERROR(IF(AND(AA201&gt;=60,OR(W201="Yes",W201="Later")),"🚨 URGENT",IF(AND(AA201&gt;=40,I201="Call Back"),"📞 CALL BACK",IF(I201="Booked Meeting","📅 BOOKED",IF(I201="Not Interested","🚫 DEAD","⏳ WORKING")))),"")</f>
        <v/>
      </c>
      <c r="AD201" s="45" t="n"/>
      <c r="AE201" s="37" t="n"/>
      <c r="AF201" s="25">
        <f>IFERROR(IF(AE201="","",AE201-TODAY()),"")</f>
        <v/>
      </c>
      <c r="AG201" s="44" t="n"/>
    </row>
    <row r="202" ht="19.5" customHeight="1" s="105">
      <c r="A202" s="40" t="n"/>
      <c r="B202" s="31" t="n"/>
      <c r="C202" s="31" t="n"/>
      <c r="D202" s="31" t="n"/>
      <c r="E202" s="40" t="n"/>
      <c r="F202" s="40" t="n"/>
      <c r="G202" s="40" t="n"/>
      <c r="H202" s="31" t="n"/>
      <c r="I202" s="40" t="n"/>
      <c r="J202" s="40" t="n"/>
      <c r="K202" s="31" t="n"/>
      <c r="L202" s="40" t="n"/>
      <c r="M202" s="40" t="n"/>
      <c r="N202" s="40" t="n"/>
      <c r="O202" s="40" t="n"/>
      <c r="P202" s="40" t="n"/>
      <c r="Q202" s="40" t="n"/>
      <c r="R202" s="40" t="n"/>
      <c r="S202" s="40" t="n"/>
      <c r="T202" s="40" t="n"/>
      <c r="U202" s="40" t="n"/>
      <c r="V202" s="29">
        <f>IFERROR(ROUND((IF(Q202="Severe",4,IF(Q202="Moderate",3,IF(Q202="Minor",2,0)))+IF(R202="Severe",4,IF(R202="Moderate",3,IF(R202="Minor",2,0)))+IF(S202="Severe",4,IF(S202="Moderate",3,IF(S202="Minor",2,0)))+IF(T202="Severe",4,IF(T202="Moderate",3,IF(T202="Minor",2,0))))/16*100,0),"")</f>
        <v/>
      </c>
      <c r="W202" s="31" t="n"/>
      <c r="X202" s="40" t="n"/>
      <c r="Y202" s="40" t="n"/>
      <c r="Z202" s="40" t="n"/>
      <c r="AA202" s="30">
        <f>IFERROR(ROUND(IF(H202&gt;=10,30,IF(H202&gt;=5,20,IF(H202&gt;=2,10,0)))+IF(K202="Yes",20,IF(K202="Unsure",10,0))+IF(W202="Yes",30,IF(W202="Later",15,0))+IFERROR(V202/100*20,0)+IF(L202="Interested",15,IF(L202="Open But Busy",10,IF(L202="Neutral",5,0))),0),"")</f>
        <v/>
      </c>
      <c r="AB202" s="31">
        <f>IFERROR(IF(AA202&gt;=80,"🔥 HOT",IF(AA202&gt;=60,"✅ STRONG",IF(AA202&gt;=40,"⚡ WARM",IF(AA202&gt;=20,"📋 NURTURE",IF(AA202&gt;0,"❌ COLD",""))))),"")</f>
        <v/>
      </c>
      <c r="AC202" s="31">
        <f>IFERROR(IF(AND(AA202&gt;=60,OR(W202="Yes",W202="Later")),"🚨 URGENT",IF(AND(AA202&gt;=40,I202="Call Back"),"📞 CALL BACK",IF(I202="Booked Meeting","📅 BOOKED",IF(I202="Not Interested","🚫 DEAD","⏳ WORKING")))),"")</f>
        <v/>
      </c>
      <c r="AD202" s="42" t="n"/>
      <c r="AE202" s="38" t="n"/>
      <c r="AF202" s="33">
        <f>IFERROR(IF(AE202="","",AE202-TODAY()),"")</f>
        <v/>
      </c>
      <c r="AG202" s="40" t="n"/>
    </row>
    <row r="203" ht="19.5" customHeight="1" s="105">
      <c r="A203" s="44" t="n"/>
      <c r="B203" s="23" t="n"/>
      <c r="C203" s="23" t="n"/>
      <c r="D203" s="23" t="n"/>
      <c r="E203" s="44" t="n"/>
      <c r="F203" s="44" t="n"/>
      <c r="G203" s="44" t="n"/>
      <c r="H203" s="23" t="n"/>
      <c r="I203" s="44" t="n"/>
      <c r="J203" s="44" t="n"/>
      <c r="K203" s="23" t="n"/>
      <c r="L203" s="44" t="n"/>
      <c r="M203" s="44" t="n"/>
      <c r="N203" s="44" t="n"/>
      <c r="O203" s="44" t="n"/>
      <c r="P203" s="44" t="n"/>
      <c r="Q203" s="44" t="n"/>
      <c r="R203" s="44" t="n"/>
      <c r="S203" s="44" t="n"/>
      <c r="T203" s="44" t="n"/>
      <c r="U203" s="44" t="n"/>
      <c r="V203" s="21">
        <f>IFERROR(ROUND((IF(Q203="Severe",4,IF(Q203="Moderate",3,IF(Q203="Minor",2,0)))+IF(R203="Severe",4,IF(R203="Moderate",3,IF(R203="Minor",2,0)))+IF(S203="Severe",4,IF(S203="Moderate",3,IF(S203="Minor",2,0)))+IF(T203="Severe",4,IF(T203="Moderate",3,IF(T203="Minor",2,0))))/16*100,0),"")</f>
        <v/>
      </c>
      <c r="W203" s="23" t="n"/>
      <c r="X203" s="44" t="n"/>
      <c r="Y203" s="44" t="n"/>
      <c r="Z203" s="44" t="n"/>
      <c r="AA203" s="22">
        <f>IFERROR(ROUND(IF(H203&gt;=10,30,IF(H203&gt;=5,20,IF(H203&gt;=2,10,0)))+IF(K203="Yes",20,IF(K203="Unsure",10,0))+IF(W203="Yes",30,IF(W203="Later",15,0))+IFERROR(V203/100*20,0)+IF(L203="Interested",15,IF(L203="Open But Busy",10,IF(L203="Neutral",5,0))),0),"")</f>
        <v/>
      </c>
      <c r="AB203" s="23">
        <f>IFERROR(IF(AA203&gt;=80,"🔥 HOT",IF(AA203&gt;=60,"✅ STRONG",IF(AA203&gt;=40,"⚡ WARM",IF(AA203&gt;=20,"📋 NURTURE",IF(AA203&gt;0,"❌ COLD",""))))),"")</f>
        <v/>
      </c>
      <c r="AC203" s="23">
        <f>IFERROR(IF(AND(AA203&gt;=60,OR(W203="Yes",W203="Later")),"🚨 URGENT",IF(AND(AA203&gt;=40,I203="Call Back"),"📞 CALL BACK",IF(I203="Booked Meeting","📅 BOOKED",IF(I203="Not Interested","🚫 DEAD","⏳ WORKING")))),"")</f>
        <v/>
      </c>
      <c r="AD203" s="45" t="n"/>
      <c r="AE203" s="37" t="n"/>
      <c r="AF203" s="25">
        <f>IFERROR(IF(AE203="","",AE203-TODAY()),"")</f>
        <v/>
      </c>
      <c r="AG203" s="44" t="n"/>
    </row>
    <row r="204" ht="19.5" customHeight="1" s="105">
      <c r="A204" s="40" t="n"/>
      <c r="B204" s="31" t="n"/>
      <c r="C204" s="31" t="n"/>
      <c r="D204" s="31" t="n"/>
      <c r="E204" s="40" t="n"/>
      <c r="F204" s="40" t="n"/>
      <c r="G204" s="40" t="n"/>
      <c r="H204" s="31" t="n"/>
      <c r="I204" s="40" t="n"/>
      <c r="J204" s="40" t="n"/>
      <c r="K204" s="31" t="n"/>
      <c r="L204" s="40" t="n"/>
      <c r="M204" s="40" t="n"/>
      <c r="N204" s="40" t="n"/>
      <c r="O204" s="40" t="n"/>
      <c r="P204" s="40" t="n"/>
      <c r="Q204" s="40" t="n"/>
      <c r="R204" s="40" t="n"/>
      <c r="S204" s="40" t="n"/>
      <c r="T204" s="40" t="n"/>
      <c r="U204" s="40" t="n"/>
      <c r="V204" s="29">
        <f>IFERROR(ROUND((IF(Q204="Severe",4,IF(Q204="Moderate",3,IF(Q204="Minor",2,0)))+IF(R204="Severe",4,IF(R204="Moderate",3,IF(R204="Minor",2,0)))+IF(S204="Severe",4,IF(S204="Moderate",3,IF(S204="Minor",2,0)))+IF(T204="Severe",4,IF(T204="Moderate",3,IF(T204="Minor",2,0))))/16*100,0),"")</f>
        <v/>
      </c>
      <c r="W204" s="31" t="n"/>
      <c r="X204" s="40" t="n"/>
      <c r="Y204" s="40" t="n"/>
      <c r="Z204" s="40" t="n"/>
      <c r="AA204" s="30">
        <f>IFERROR(ROUND(IF(H204&gt;=10,30,IF(H204&gt;=5,20,IF(H204&gt;=2,10,0)))+IF(K204="Yes",20,IF(K204="Unsure",10,0))+IF(W204="Yes",30,IF(W204="Later",15,0))+IFERROR(V204/100*20,0)+IF(L204="Interested",15,IF(L204="Open But Busy",10,IF(L204="Neutral",5,0))),0),"")</f>
        <v/>
      </c>
      <c r="AB204" s="31">
        <f>IFERROR(IF(AA204&gt;=80,"🔥 HOT",IF(AA204&gt;=60,"✅ STRONG",IF(AA204&gt;=40,"⚡ WARM",IF(AA204&gt;=20,"📋 NURTURE",IF(AA204&gt;0,"❌ COLD",""))))),"")</f>
        <v/>
      </c>
      <c r="AC204" s="31">
        <f>IFERROR(IF(AND(AA204&gt;=60,OR(W204="Yes",W204="Later")),"🚨 URGENT",IF(AND(AA204&gt;=40,I204="Call Back"),"📞 CALL BACK",IF(I204="Booked Meeting","📅 BOOKED",IF(I204="Not Interested","🚫 DEAD","⏳ WORKING")))),"")</f>
        <v/>
      </c>
      <c r="AD204" s="42" t="n"/>
      <c r="AE204" s="38" t="n"/>
      <c r="AF204" s="33">
        <f>IFERROR(IF(AE204="","",AE204-TODAY()),"")</f>
        <v/>
      </c>
      <c r="AG204" s="40" t="n"/>
    </row>
    <row r="205" ht="15.75" customHeight="1" s="105">
      <c r="B205" s="50" t="n"/>
      <c r="C205" s="50" t="n"/>
      <c r="D205" s="50" t="n"/>
    </row>
    <row r="206" ht="15.75" customHeight="1" s="105">
      <c r="B206" s="50" t="n"/>
      <c r="C206" s="50" t="n"/>
      <c r="D206" s="50" t="n"/>
    </row>
    <row r="207" ht="15.75" customHeight="1" s="105">
      <c r="B207" s="50" t="n"/>
      <c r="C207" s="50" t="n"/>
      <c r="D207" s="50" t="n"/>
    </row>
    <row r="208" ht="15.75" customHeight="1" s="105">
      <c r="B208" s="50" t="n"/>
      <c r="C208" s="50" t="n"/>
      <c r="D208" s="50" t="n"/>
    </row>
    <row r="209" ht="15.75" customHeight="1" s="105">
      <c r="B209" s="50" t="n"/>
      <c r="C209" s="50" t="n"/>
      <c r="D209" s="50" t="n"/>
    </row>
    <row r="210" ht="15.75" customHeight="1" s="105">
      <c r="B210" s="50" t="n"/>
      <c r="C210" s="50" t="n"/>
      <c r="D210" s="50" t="n"/>
    </row>
    <row r="211" ht="15.75" customHeight="1" s="105">
      <c r="B211" s="50" t="n"/>
      <c r="C211" s="50" t="n"/>
      <c r="D211" s="50" t="n"/>
    </row>
    <row r="212" ht="15.75" customHeight="1" s="105">
      <c r="B212" s="50" t="n"/>
      <c r="C212" s="50" t="n"/>
      <c r="D212" s="50" t="n"/>
    </row>
    <row r="213" ht="15.75" customHeight="1" s="105">
      <c r="B213" s="50" t="n"/>
      <c r="C213" s="50" t="n"/>
      <c r="D213" s="50" t="n"/>
    </row>
    <row r="214" ht="15.75" customHeight="1" s="105">
      <c r="B214" s="50" t="n"/>
      <c r="C214" s="50" t="n"/>
      <c r="D214" s="50" t="n"/>
    </row>
    <row r="215" ht="15.75" customHeight="1" s="105">
      <c r="B215" s="50" t="n"/>
      <c r="C215" s="50" t="n"/>
      <c r="D215" s="50" t="n"/>
    </row>
    <row r="216" ht="15.75" customHeight="1" s="105">
      <c r="B216" s="50" t="n"/>
      <c r="C216" s="50" t="n"/>
      <c r="D216" s="50" t="n"/>
    </row>
    <row r="217" ht="15.75" customHeight="1" s="105">
      <c r="B217" s="50" t="n"/>
      <c r="C217" s="50" t="n"/>
      <c r="D217" s="50" t="n"/>
    </row>
    <row r="218" ht="15.75" customHeight="1" s="105">
      <c r="B218" s="50" t="n"/>
      <c r="C218" s="50" t="n"/>
      <c r="D218" s="50" t="n"/>
    </row>
    <row r="219" ht="15.75" customHeight="1" s="105">
      <c r="B219" s="50" t="n"/>
      <c r="C219" s="50" t="n"/>
      <c r="D219" s="50" t="n"/>
    </row>
    <row r="220" ht="15.75" customHeight="1" s="105">
      <c r="B220" s="50" t="n"/>
      <c r="C220" s="50" t="n"/>
      <c r="D220" s="50" t="n"/>
    </row>
    <row r="221" ht="15.75" customHeight="1" s="105">
      <c r="B221" s="50" t="n"/>
      <c r="C221" s="50" t="n"/>
      <c r="D221" s="50" t="n"/>
    </row>
    <row r="222" ht="15.75" customHeight="1" s="105">
      <c r="B222" s="50" t="n"/>
      <c r="C222" s="50" t="n"/>
      <c r="D222" s="50" t="n"/>
    </row>
    <row r="223" ht="15.75" customHeight="1" s="105">
      <c r="B223" s="50" t="n"/>
      <c r="C223" s="50" t="n"/>
      <c r="D223" s="50" t="n"/>
    </row>
    <row r="224" ht="15.75" customHeight="1" s="105">
      <c r="B224" s="50" t="n"/>
      <c r="C224" s="50" t="n"/>
      <c r="D224" s="50" t="n"/>
    </row>
    <row r="225" ht="15.75" customHeight="1" s="105">
      <c r="B225" s="50" t="n"/>
      <c r="C225" s="50" t="n"/>
      <c r="D225" s="50" t="n"/>
    </row>
    <row r="226" ht="15.75" customHeight="1" s="105">
      <c r="B226" s="50" t="n"/>
      <c r="C226" s="50" t="n"/>
      <c r="D226" s="50" t="n"/>
    </row>
    <row r="227" ht="15.75" customHeight="1" s="105">
      <c r="B227" s="50" t="n"/>
      <c r="C227" s="50" t="n"/>
      <c r="D227" s="50" t="n"/>
    </row>
    <row r="228" ht="15.75" customHeight="1" s="105">
      <c r="B228" s="50" t="n"/>
      <c r="C228" s="50" t="n"/>
      <c r="D228" s="50" t="n"/>
    </row>
    <row r="229" ht="15.75" customHeight="1" s="105">
      <c r="B229" s="50" t="n"/>
      <c r="C229" s="50" t="n"/>
      <c r="D229" s="50" t="n"/>
    </row>
    <row r="230" ht="15.75" customHeight="1" s="105">
      <c r="B230" s="50" t="n"/>
      <c r="C230" s="50" t="n"/>
      <c r="D230" s="50" t="n"/>
    </row>
    <row r="231" ht="15.75" customHeight="1" s="105">
      <c r="B231" s="50" t="n"/>
      <c r="C231" s="50" t="n"/>
      <c r="D231" s="50" t="n"/>
    </row>
    <row r="232" ht="15.75" customHeight="1" s="105">
      <c r="B232" s="50" t="n"/>
      <c r="C232" s="50" t="n"/>
      <c r="D232" s="50" t="n"/>
    </row>
    <row r="233" ht="15.75" customHeight="1" s="105">
      <c r="B233" s="50" t="n"/>
      <c r="C233" s="50" t="n"/>
      <c r="D233" s="50" t="n"/>
    </row>
    <row r="234" ht="15.75" customHeight="1" s="105">
      <c r="B234" s="50" t="n"/>
      <c r="C234" s="50" t="n"/>
      <c r="D234" s="50" t="n"/>
    </row>
    <row r="235" ht="15.75" customHeight="1" s="105">
      <c r="B235" s="50" t="n"/>
      <c r="C235" s="50" t="n"/>
      <c r="D235" s="50" t="n"/>
    </row>
    <row r="236" ht="15.75" customHeight="1" s="105">
      <c r="B236" s="50" t="n"/>
      <c r="C236" s="50" t="n"/>
      <c r="D236" s="50" t="n"/>
    </row>
    <row r="237" ht="15.75" customHeight="1" s="105">
      <c r="B237" s="50" t="n"/>
      <c r="C237" s="50" t="n"/>
      <c r="D237" s="50" t="n"/>
    </row>
    <row r="238" ht="15.75" customHeight="1" s="105">
      <c r="B238" s="50" t="n"/>
      <c r="C238" s="50" t="n"/>
      <c r="D238" s="50" t="n"/>
    </row>
    <row r="239" ht="15.75" customHeight="1" s="105">
      <c r="B239" s="50" t="n"/>
      <c r="C239" s="50" t="n"/>
      <c r="D239" s="50" t="n"/>
    </row>
    <row r="240" ht="15.75" customHeight="1" s="105">
      <c r="B240" s="50" t="n"/>
      <c r="C240" s="50" t="n"/>
      <c r="D240" s="50" t="n"/>
    </row>
    <row r="241" ht="15.75" customHeight="1" s="105">
      <c r="B241" s="50" t="n"/>
      <c r="C241" s="50" t="n"/>
      <c r="D241" s="50" t="n"/>
    </row>
    <row r="242" ht="15.75" customHeight="1" s="105">
      <c r="B242" s="50" t="n"/>
      <c r="C242" s="50" t="n"/>
      <c r="D242" s="50" t="n"/>
    </row>
    <row r="243" ht="15.75" customHeight="1" s="105">
      <c r="B243" s="50" t="n"/>
      <c r="C243" s="50" t="n"/>
      <c r="D243" s="50" t="n"/>
    </row>
    <row r="244" ht="15.75" customHeight="1" s="105">
      <c r="B244" s="50" t="n"/>
      <c r="C244" s="50" t="n"/>
      <c r="D244" s="50" t="n"/>
    </row>
    <row r="245" ht="15.75" customHeight="1" s="105">
      <c r="B245" s="50" t="n"/>
      <c r="C245" s="50" t="n"/>
      <c r="D245" s="50" t="n"/>
    </row>
    <row r="246" ht="15.75" customHeight="1" s="105">
      <c r="B246" s="50" t="n"/>
      <c r="C246" s="50" t="n"/>
      <c r="D246" s="50" t="n"/>
    </row>
    <row r="247" ht="15.75" customHeight="1" s="105">
      <c r="B247" s="50" t="n"/>
      <c r="C247" s="50" t="n"/>
      <c r="D247" s="50" t="n"/>
    </row>
    <row r="248" ht="15.75" customHeight="1" s="105">
      <c r="B248" s="50" t="n"/>
      <c r="C248" s="50" t="n"/>
      <c r="D248" s="50" t="n"/>
    </row>
    <row r="249" ht="15.75" customHeight="1" s="105">
      <c r="B249" s="50" t="n"/>
      <c r="C249" s="50" t="n"/>
      <c r="D249" s="50" t="n"/>
    </row>
    <row r="250" ht="15.75" customHeight="1" s="105">
      <c r="B250" s="50" t="n"/>
      <c r="C250" s="50" t="n"/>
      <c r="D250" s="50" t="n"/>
    </row>
    <row r="251" ht="15.75" customHeight="1" s="105">
      <c r="B251" s="50" t="n"/>
      <c r="C251" s="50" t="n"/>
      <c r="D251" s="50" t="n"/>
    </row>
    <row r="252" ht="15.75" customHeight="1" s="105">
      <c r="B252" s="50" t="n"/>
      <c r="C252" s="50" t="n"/>
      <c r="D252" s="50" t="n"/>
    </row>
    <row r="253" ht="15.75" customHeight="1" s="105">
      <c r="B253" s="50" t="n"/>
      <c r="C253" s="50" t="n"/>
      <c r="D253" s="50" t="n"/>
    </row>
    <row r="254" ht="15.75" customHeight="1" s="105">
      <c r="B254" s="50" t="n"/>
      <c r="C254" s="50" t="n"/>
      <c r="D254" s="50" t="n"/>
    </row>
    <row r="255" ht="15.75" customHeight="1" s="105">
      <c r="B255" s="50" t="n"/>
      <c r="C255" s="50" t="n"/>
      <c r="D255" s="50" t="n"/>
    </row>
    <row r="256" ht="15.75" customHeight="1" s="105">
      <c r="B256" s="50" t="n"/>
      <c r="C256" s="50" t="n"/>
      <c r="D256" s="50" t="n"/>
    </row>
    <row r="257" ht="15.75" customHeight="1" s="105">
      <c r="B257" s="50" t="n"/>
      <c r="C257" s="50" t="n"/>
      <c r="D257" s="50" t="n"/>
    </row>
    <row r="258" ht="15.75" customHeight="1" s="105">
      <c r="B258" s="50" t="n"/>
      <c r="C258" s="50" t="n"/>
      <c r="D258" s="50" t="n"/>
    </row>
    <row r="259" ht="15.75" customHeight="1" s="105">
      <c r="B259" s="50" t="n"/>
      <c r="C259" s="50" t="n"/>
      <c r="D259" s="50" t="n"/>
    </row>
    <row r="260" ht="15.75" customHeight="1" s="105">
      <c r="B260" s="50" t="n"/>
      <c r="C260" s="50" t="n"/>
      <c r="D260" s="50" t="n"/>
    </row>
    <row r="261" ht="15.75" customHeight="1" s="105">
      <c r="B261" s="50" t="n"/>
      <c r="C261" s="50" t="n"/>
      <c r="D261" s="50" t="n"/>
    </row>
    <row r="262" ht="15.75" customHeight="1" s="105">
      <c r="B262" s="50" t="n"/>
      <c r="C262" s="50" t="n"/>
      <c r="D262" s="50" t="n"/>
    </row>
    <row r="263" ht="15.75" customHeight="1" s="105">
      <c r="B263" s="50" t="n"/>
      <c r="C263" s="50" t="n"/>
      <c r="D263" s="50" t="n"/>
    </row>
    <row r="264" ht="15.75" customHeight="1" s="105">
      <c r="B264" s="50" t="n"/>
      <c r="C264" s="50" t="n"/>
      <c r="D264" s="50" t="n"/>
    </row>
    <row r="265" ht="15.75" customHeight="1" s="105">
      <c r="B265" s="50" t="n"/>
      <c r="C265" s="50" t="n"/>
      <c r="D265" s="50" t="n"/>
    </row>
    <row r="266" ht="15.75" customHeight="1" s="105">
      <c r="B266" s="50" t="n"/>
      <c r="C266" s="50" t="n"/>
      <c r="D266" s="50" t="n"/>
    </row>
    <row r="267" ht="15.75" customHeight="1" s="105">
      <c r="B267" s="50" t="n"/>
      <c r="C267" s="50" t="n"/>
      <c r="D267" s="50" t="n"/>
    </row>
    <row r="268" ht="15.75" customHeight="1" s="105">
      <c r="B268" s="50" t="n"/>
      <c r="C268" s="50" t="n"/>
      <c r="D268" s="50" t="n"/>
    </row>
    <row r="269" ht="15.75" customHeight="1" s="105">
      <c r="B269" s="50" t="n"/>
      <c r="C269" s="50" t="n"/>
      <c r="D269" s="50" t="n"/>
    </row>
    <row r="270" ht="15.75" customHeight="1" s="105">
      <c r="B270" s="50" t="n"/>
      <c r="C270" s="50" t="n"/>
      <c r="D270" s="50" t="n"/>
    </row>
    <row r="271" ht="15.75" customHeight="1" s="105">
      <c r="B271" s="50" t="n"/>
      <c r="C271" s="50" t="n"/>
      <c r="D271" s="50" t="n"/>
    </row>
    <row r="272" ht="15.75" customHeight="1" s="105">
      <c r="B272" s="50" t="n"/>
      <c r="C272" s="50" t="n"/>
      <c r="D272" s="50" t="n"/>
    </row>
    <row r="273" ht="15.75" customHeight="1" s="105">
      <c r="B273" s="50" t="n"/>
      <c r="C273" s="50" t="n"/>
      <c r="D273" s="50" t="n"/>
    </row>
    <row r="274" ht="15.75" customHeight="1" s="105">
      <c r="B274" s="50" t="n"/>
      <c r="C274" s="50" t="n"/>
      <c r="D274" s="50" t="n"/>
    </row>
    <row r="275" ht="15.75" customHeight="1" s="105">
      <c r="B275" s="50" t="n"/>
      <c r="C275" s="50" t="n"/>
      <c r="D275" s="50" t="n"/>
    </row>
    <row r="276" ht="15.75" customHeight="1" s="105">
      <c r="B276" s="50" t="n"/>
      <c r="C276" s="50" t="n"/>
      <c r="D276" s="50" t="n"/>
    </row>
    <row r="277" ht="15.75" customHeight="1" s="105">
      <c r="B277" s="50" t="n"/>
      <c r="C277" s="50" t="n"/>
      <c r="D277" s="50" t="n"/>
    </row>
    <row r="278" ht="15.75" customHeight="1" s="105">
      <c r="B278" s="50" t="n"/>
      <c r="C278" s="50" t="n"/>
      <c r="D278" s="50" t="n"/>
    </row>
    <row r="279" ht="15.75" customHeight="1" s="105">
      <c r="B279" s="50" t="n"/>
      <c r="C279" s="50" t="n"/>
      <c r="D279" s="50" t="n"/>
    </row>
    <row r="280" ht="15.75" customHeight="1" s="105">
      <c r="B280" s="50" t="n"/>
      <c r="C280" s="50" t="n"/>
      <c r="D280" s="50" t="n"/>
    </row>
    <row r="281" ht="15.75" customHeight="1" s="105">
      <c r="B281" s="50" t="n"/>
      <c r="C281" s="50" t="n"/>
      <c r="D281" s="50" t="n"/>
    </row>
    <row r="282" ht="15.75" customHeight="1" s="105">
      <c r="B282" s="50" t="n"/>
      <c r="C282" s="50" t="n"/>
      <c r="D282" s="50" t="n"/>
    </row>
    <row r="283" ht="15.75" customHeight="1" s="105">
      <c r="B283" s="50" t="n"/>
      <c r="C283" s="50" t="n"/>
      <c r="D283" s="50" t="n"/>
    </row>
    <row r="284" ht="15.75" customHeight="1" s="105">
      <c r="B284" s="50" t="n"/>
      <c r="C284" s="50" t="n"/>
      <c r="D284" s="50" t="n"/>
    </row>
    <row r="285" ht="15.75" customHeight="1" s="105">
      <c r="B285" s="50" t="n"/>
      <c r="C285" s="50" t="n"/>
      <c r="D285" s="50" t="n"/>
    </row>
    <row r="286" ht="15.75" customHeight="1" s="105">
      <c r="B286" s="50" t="n"/>
      <c r="C286" s="50" t="n"/>
      <c r="D286" s="50" t="n"/>
    </row>
    <row r="287" ht="15.75" customHeight="1" s="105">
      <c r="B287" s="50" t="n"/>
      <c r="C287" s="50" t="n"/>
      <c r="D287" s="50" t="n"/>
    </row>
    <row r="288" ht="15.75" customHeight="1" s="105">
      <c r="B288" s="50" t="n"/>
      <c r="C288" s="50" t="n"/>
      <c r="D288" s="50" t="n"/>
    </row>
    <row r="289" ht="15.75" customHeight="1" s="105">
      <c r="B289" s="50" t="n"/>
      <c r="C289" s="50" t="n"/>
      <c r="D289" s="50" t="n"/>
    </row>
    <row r="290" ht="15.75" customHeight="1" s="105">
      <c r="B290" s="50" t="n"/>
      <c r="C290" s="50" t="n"/>
      <c r="D290" s="50" t="n"/>
    </row>
    <row r="291" ht="15.75" customHeight="1" s="105">
      <c r="B291" s="50" t="n"/>
      <c r="C291" s="50" t="n"/>
      <c r="D291" s="50" t="n"/>
    </row>
    <row r="292" ht="15.75" customHeight="1" s="105">
      <c r="B292" s="50" t="n"/>
      <c r="C292" s="50" t="n"/>
      <c r="D292" s="50" t="n"/>
    </row>
    <row r="293" ht="15.75" customHeight="1" s="105">
      <c r="B293" s="50" t="n"/>
      <c r="C293" s="50" t="n"/>
      <c r="D293" s="50" t="n"/>
    </row>
    <row r="294" ht="15.75" customHeight="1" s="105">
      <c r="B294" s="50" t="n"/>
      <c r="C294" s="50" t="n"/>
      <c r="D294" s="50" t="n"/>
    </row>
    <row r="295" ht="15.75" customHeight="1" s="105">
      <c r="B295" s="50" t="n"/>
      <c r="C295" s="50" t="n"/>
      <c r="D295" s="50" t="n"/>
    </row>
    <row r="296" ht="15.75" customHeight="1" s="105">
      <c r="B296" s="50" t="n"/>
      <c r="C296" s="50" t="n"/>
      <c r="D296" s="50" t="n"/>
    </row>
    <row r="297" ht="15.75" customHeight="1" s="105">
      <c r="B297" s="50" t="n"/>
      <c r="C297" s="50" t="n"/>
      <c r="D297" s="50" t="n"/>
    </row>
    <row r="298" ht="15.75" customHeight="1" s="105">
      <c r="B298" s="50" t="n"/>
      <c r="C298" s="50" t="n"/>
      <c r="D298" s="50" t="n"/>
    </row>
    <row r="299" ht="15.75" customHeight="1" s="105">
      <c r="B299" s="50" t="n"/>
      <c r="C299" s="50" t="n"/>
      <c r="D299" s="50" t="n"/>
    </row>
    <row r="300" ht="15.75" customHeight="1" s="105">
      <c r="B300" s="50" t="n"/>
      <c r="C300" s="50" t="n"/>
      <c r="D300" s="50" t="n"/>
    </row>
    <row r="301" ht="15.75" customHeight="1" s="105">
      <c r="B301" s="50" t="n"/>
      <c r="C301" s="50" t="n"/>
      <c r="D301" s="50" t="n"/>
    </row>
    <row r="302" ht="15.75" customHeight="1" s="105">
      <c r="B302" s="50" t="n"/>
      <c r="C302" s="50" t="n"/>
      <c r="D302" s="50" t="n"/>
    </row>
    <row r="303" ht="15.75" customHeight="1" s="105">
      <c r="B303" s="50" t="n"/>
      <c r="C303" s="50" t="n"/>
      <c r="D303" s="50" t="n"/>
    </row>
    <row r="304" ht="15.75" customHeight="1" s="105">
      <c r="B304" s="50" t="n"/>
      <c r="C304" s="50" t="n"/>
      <c r="D304" s="50" t="n"/>
    </row>
    <row r="305" ht="15.75" customHeight="1" s="105">
      <c r="B305" s="50" t="n"/>
      <c r="C305" s="50" t="n"/>
      <c r="D305" s="50" t="n"/>
    </row>
    <row r="306" ht="15.75" customHeight="1" s="105">
      <c r="B306" s="50" t="n"/>
      <c r="C306" s="50" t="n"/>
      <c r="D306" s="50" t="n"/>
    </row>
    <row r="307" ht="15.75" customHeight="1" s="105">
      <c r="B307" s="50" t="n"/>
      <c r="C307" s="50" t="n"/>
      <c r="D307" s="50" t="n"/>
    </row>
    <row r="308" ht="15.75" customHeight="1" s="105">
      <c r="B308" s="50" t="n"/>
      <c r="C308" s="50" t="n"/>
      <c r="D308" s="50" t="n"/>
    </row>
    <row r="309" ht="15.75" customHeight="1" s="105">
      <c r="B309" s="50" t="n"/>
      <c r="C309" s="50" t="n"/>
      <c r="D309" s="50" t="n"/>
    </row>
    <row r="310" ht="15.75" customHeight="1" s="105">
      <c r="B310" s="50" t="n"/>
      <c r="C310" s="50" t="n"/>
      <c r="D310" s="50" t="n"/>
    </row>
    <row r="311" ht="15.75" customHeight="1" s="105">
      <c r="B311" s="50" t="n"/>
      <c r="C311" s="50" t="n"/>
      <c r="D311" s="50" t="n"/>
    </row>
    <row r="312" ht="15.75" customHeight="1" s="105">
      <c r="B312" s="50" t="n"/>
      <c r="C312" s="50" t="n"/>
      <c r="D312" s="50" t="n"/>
    </row>
    <row r="313" ht="15.75" customHeight="1" s="105">
      <c r="B313" s="50" t="n"/>
      <c r="C313" s="50" t="n"/>
      <c r="D313" s="50" t="n"/>
    </row>
    <row r="314" ht="15.75" customHeight="1" s="105">
      <c r="B314" s="50" t="n"/>
      <c r="C314" s="50" t="n"/>
      <c r="D314" s="50" t="n"/>
    </row>
    <row r="315" ht="15.75" customHeight="1" s="105">
      <c r="B315" s="50" t="n"/>
      <c r="C315" s="50" t="n"/>
      <c r="D315" s="50" t="n"/>
    </row>
    <row r="316" ht="15.75" customHeight="1" s="105">
      <c r="B316" s="50" t="n"/>
      <c r="C316" s="50" t="n"/>
      <c r="D316" s="50" t="n"/>
    </row>
    <row r="317" ht="15.75" customHeight="1" s="105">
      <c r="B317" s="50" t="n"/>
      <c r="C317" s="50" t="n"/>
      <c r="D317" s="50" t="n"/>
    </row>
    <row r="318" ht="15.75" customHeight="1" s="105">
      <c r="B318" s="50" t="n"/>
      <c r="C318" s="50" t="n"/>
      <c r="D318" s="50" t="n"/>
    </row>
    <row r="319" ht="15.75" customHeight="1" s="105">
      <c r="B319" s="50" t="n"/>
      <c r="C319" s="50" t="n"/>
      <c r="D319" s="50" t="n"/>
    </row>
    <row r="320" ht="15.75" customHeight="1" s="105">
      <c r="B320" s="50" t="n"/>
      <c r="C320" s="50" t="n"/>
      <c r="D320" s="50" t="n"/>
    </row>
    <row r="321" ht="15.75" customHeight="1" s="105">
      <c r="B321" s="50" t="n"/>
      <c r="C321" s="50" t="n"/>
      <c r="D321" s="50" t="n"/>
    </row>
    <row r="322" ht="15.75" customHeight="1" s="105">
      <c r="B322" s="50" t="n"/>
      <c r="C322" s="50" t="n"/>
      <c r="D322" s="50" t="n"/>
    </row>
    <row r="323" ht="15.75" customHeight="1" s="105">
      <c r="B323" s="50" t="n"/>
      <c r="C323" s="50" t="n"/>
      <c r="D323" s="50" t="n"/>
    </row>
    <row r="324" ht="15.75" customHeight="1" s="105">
      <c r="B324" s="50" t="n"/>
      <c r="C324" s="50" t="n"/>
      <c r="D324" s="50" t="n"/>
    </row>
    <row r="325" ht="15.75" customHeight="1" s="105">
      <c r="B325" s="50" t="n"/>
      <c r="C325" s="50" t="n"/>
      <c r="D325" s="50" t="n"/>
    </row>
    <row r="326" ht="15.75" customHeight="1" s="105">
      <c r="B326" s="50" t="n"/>
      <c r="C326" s="50" t="n"/>
      <c r="D326" s="50" t="n"/>
    </row>
    <row r="327" ht="15.75" customHeight="1" s="105">
      <c r="B327" s="50" t="n"/>
      <c r="C327" s="50" t="n"/>
      <c r="D327" s="50" t="n"/>
    </row>
    <row r="328" ht="15.75" customHeight="1" s="105">
      <c r="B328" s="50" t="n"/>
      <c r="C328" s="50" t="n"/>
      <c r="D328" s="50" t="n"/>
    </row>
    <row r="329" ht="15.75" customHeight="1" s="105">
      <c r="B329" s="50" t="n"/>
      <c r="C329" s="50" t="n"/>
      <c r="D329" s="50" t="n"/>
    </row>
    <row r="330" ht="15.75" customHeight="1" s="105">
      <c r="B330" s="50" t="n"/>
      <c r="C330" s="50" t="n"/>
      <c r="D330" s="50" t="n"/>
    </row>
    <row r="331" ht="15.75" customHeight="1" s="105">
      <c r="B331" s="50" t="n"/>
      <c r="C331" s="50" t="n"/>
      <c r="D331" s="50" t="n"/>
    </row>
    <row r="332" ht="15.75" customHeight="1" s="105">
      <c r="B332" s="50" t="n"/>
      <c r="C332" s="50" t="n"/>
      <c r="D332" s="50" t="n"/>
    </row>
    <row r="333" ht="15.75" customHeight="1" s="105">
      <c r="B333" s="50" t="n"/>
      <c r="C333" s="50" t="n"/>
      <c r="D333" s="50" t="n"/>
    </row>
    <row r="334" ht="15.75" customHeight="1" s="105">
      <c r="B334" s="50" t="n"/>
      <c r="C334" s="50" t="n"/>
      <c r="D334" s="50" t="n"/>
    </row>
    <row r="335" ht="15.75" customHeight="1" s="105">
      <c r="B335" s="50" t="n"/>
      <c r="C335" s="50" t="n"/>
      <c r="D335" s="50" t="n"/>
    </row>
    <row r="336" ht="15.75" customHeight="1" s="105">
      <c r="B336" s="50" t="n"/>
      <c r="C336" s="50" t="n"/>
      <c r="D336" s="50" t="n"/>
    </row>
    <row r="337" ht="15.75" customHeight="1" s="105">
      <c r="B337" s="50" t="n"/>
      <c r="C337" s="50" t="n"/>
      <c r="D337" s="50" t="n"/>
    </row>
    <row r="338" ht="15.75" customHeight="1" s="105">
      <c r="B338" s="50" t="n"/>
      <c r="C338" s="50" t="n"/>
      <c r="D338" s="50" t="n"/>
    </row>
    <row r="339" ht="15.75" customHeight="1" s="105">
      <c r="B339" s="50" t="n"/>
      <c r="C339" s="50" t="n"/>
      <c r="D339" s="50" t="n"/>
    </row>
    <row r="340" ht="15.75" customHeight="1" s="105">
      <c r="B340" s="50" t="n"/>
      <c r="C340" s="50" t="n"/>
      <c r="D340" s="50" t="n"/>
    </row>
    <row r="341" ht="15.75" customHeight="1" s="105">
      <c r="B341" s="50" t="n"/>
      <c r="C341" s="50" t="n"/>
      <c r="D341" s="50" t="n"/>
    </row>
    <row r="342" ht="15.75" customHeight="1" s="105">
      <c r="B342" s="50" t="n"/>
      <c r="C342" s="50" t="n"/>
      <c r="D342" s="50" t="n"/>
    </row>
    <row r="343" ht="15.75" customHeight="1" s="105">
      <c r="B343" s="50" t="n"/>
      <c r="C343" s="50" t="n"/>
      <c r="D343" s="50" t="n"/>
    </row>
    <row r="344" ht="15.75" customHeight="1" s="105">
      <c r="B344" s="50" t="n"/>
      <c r="C344" s="50" t="n"/>
      <c r="D344" s="50" t="n"/>
    </row>
    <row r="345" ht="15.75" customHeight="1" s="105">
      <c r="B345" s="50" t="n"/>
      <c r="C345" s="50" t="n"/>
      <c r="D345" s="50" t="n"/>
    </row>
    <row r="346" ht="15.75" customHeight="1" s="105">
      <c r="B346" s="50" t="n"/>
      <c r="C346" s="50" t="n"/>
      <c r="D346" s="50" t="n"/>
    </row>
    <row r="347" ht="15.75" customHeight="1" s="105">
      <c r="B347" s="50" t="n"/>
      <c r="C347" s="50" t="n"/>
      <c r="D347" s="50" t="n"/>
    </row>
    <row r="348" ht="15.75" customHeight="1" s="105">
      <c r="B348" s="50" t="n"/>
      <c r="C348" s="50" t="n"/>
      <c r="D348" s="50" t="n"/>
    </row>
    <row r="349" ht="15.75" customHeight="1" s="105">
      <c r="B349" s="50" t="n"/>
      <c r="C349" s="50" t="n"/>
      <c r="D349" s="50" t="n"/>
    </row>
    <row r="350" ht="15.75" customHeight="1" s="105">
      <c r="B350" s="50" t="n"/>
      <c r="C350" s="50" t="n"/>
      <c r="D350" s="50" t="n"/>
    </row>
    <row r="351" ht="15.75" customHeight="1" s="105">
      <c r="B351" s="50" t="n"/>
      <c r="C351" s="50" t="n"/>
      <c r="D351" s="50" t="n"/>
    </row>
    <row r="352" ht="15.75" customHeight="1" s="105">
      <c r="B352" s="50" t="n"/>
      <c r="C352" s="50" t="n"/>
      <c r="D352" s="50" t="n"/>
    </row>
    <row r="353" ht="15.75" customHeight="1" s="105">
      <c r="B353" s="50" t="n"/>
      <c r="C353" s="50" t="n"/>
      <c r="D353" s="50" t="n"/>
    </row>
    <row r="354" ht="15.75" customHeight="1" s="105">
      <c r="B354" s="50" t="n"/>
      <c r="C354" s="50" t="n"/>
      <c r="D354" s="50" t="n"/>
    </row>
    <row r="355" ht="15.75" customHeight="1" s="105">
      <c r="B355" s="50" t="n"/>
      <c r="C355" s="50" t="n"/>
      <c r="D355" s="50" t="n"/>
    </row>
    <row r="356" ht="15.75" customHeight="1" s="105">
      <c r="B356" s="50" t="n"/>
      <c r="C356" s="50" t="n"/>
      <c r="D356" s="50" t="n"/>
    </row>
    <row r="357" ht="15.75" customHeight="1" s="105">
      <c r="B357" s="50" t="n"/>
      <c r="C357" s="50" t="n"/>
      <c r="D357" s="50" t="n"/>
    </row>
    <row r="358" ht="15.75" customHeight="1" s="105">
      <c r="B358" s="50" t="n"/>
      <c r="C358" s="50" t="n"/>
      <c r="D358" s="50" t="n"/>
    </row>
    <row r="359" ht="15.75" customHeight="1" s="105">
      <c r="B359" s="50" t="n"/>
      <c r="C359" s="50" t="n"/>
      <c r="D359" s="50" t="n"/>
    </row>
    <row r="360" ht="15.75" customHeight="1" s="105">
      <c r="B360" s="50" t="n"/>
      <c r="C360" s="50" t="n"/>
      <c r="D360" s="50" t="n"/>
    </row>
    <row r="361" ht="15.75" customHeight="1" s="105">
      <c r="B361" s="50" t="n"/>
      <c r="C361" s="50" t="n"/>
      <c r="D361" s="50" t="n"/>
    </row>
    <row r="362" ht="15.75" customHeight="1" s="105">
      <c r="B362" s="50" t="n"/>
      <c r="C362" s="50" t="n"/>
      <c r="D362" s="50" t="n"/>
    </row>
    <row r="363" ht="15.75" customHeight="1" s="105">
      <c r="B363" s="50" t="n"/>
      <c r="C363" s="50" t="n"/>
      <c r="D363" s="50" t="n"/>
    </row>
    <row r="364" ht="15.75" customHeight="1" s="105">
      <c r="B364" s="50" t="n"/>
      <c r="C364" s="50" t="n"/>
      <c r="D364" s="50" t="n"/>
    </row>
    <row r="365" ht="15.75" customHeight="1" s="105">
      <c r="B365" s="50" t="n"/>
      <c r="C365" s="50" t="n"/>
      <c r="D365" s="50" t="n"/>
    </row>
    <row r="366" ht="15.75" customHeight="1" s="105">
      <c r="B366" s="50" t="n"/>
      <c r="C366" s="50" t="n"/>
      <c r="D366" s="50" t="n"/>
    </row>
    <row r="367" ht="15.75" customHeight="1" s="105">
      <c r="B367" s="50" t="n"/>
      <c r="C367" s="50" t="n"/>
      <c r="D367" s="50" t="n"/>
    </row>
    <row r="368" ht="15.75" customHeight="1" s="105">
      <c r="B368" s="50" t="n"/>
      <c r="C368" s="50" t="n"/>
      <c r="D368" s="50" t="n"/>
    </row>
    <row r="369" ht="15.75" customHeight="1" s="105">
      <c r="B369" s="50" t="n"/>
      <c r="C369" s="50" t="n"/>
      <c r="D369" s="50" t="n"/>
    </row>
    <row r="370" ht="15.75" customHeight="1" s="105">
      <c r="B370" s="50" t="n"/>
      <c r="C370" s="50" t="n"/>
      <c r="D370" s="50" t="n"/>
    </row>
    <row r="371" ht="15.75" customHeight="1" s="105">
      <c r="B371" s="50" t="n"/>
      <c r="C371" s="50" t="n"/>
      <c r="D371" s="50" t="n"/>
    </row>
    <row r="372" ht="15.75" customHeight="1" s="105">
      <c r="B372" s="50" t="n"/>
      <c r="C372" s="50" t="n"/>
      <c r="D372" s="50" t="n"/>
    </row>
    <row r="373" ht="15.75" customHeight="1" s="105">
      <c r="B373" s="50" t="n"/>
      <c r="C373" s="50" t="n"/>
      <c r="D373" s="50" t="n"/>
    </row>
    <row r="374" ht="15.75" customHeight="1" s="105">
      <c r="B374" s="50" t="n"/>
      <c r="C374" s="50" t="n"/>
      <c r="D374" s="50" t="n"/>
    </row>
    <row r="375" ht="15.75" customHeight="1" s="105">
      <c r="B375" s="50" t="n"/>
      <c r="C375" s="50" t="n"/>
      <c r="D375" s="50" t="n"/>
    </row>
    <row r="376" ht="15.75" customHeight="1" s="105">
      <c r="B376" s="50" t="n"/>
      <c r="C376" s="50" t="n"/>
      <c r="D376" s="50" t="n"/>
    </row>
    <row r="377" ht="15.75" customHeight="1" s="105">
      <c r="B377" s="50" t="n"/>
      <c r="C377" s="50" t="n"/>
      <c r="D377" s="50" t="n"/>
    </row>
    <row r="378" ht="15.75" customHeight="1" s="105">
      <c r="B378" s="50" t="n"/>
      <c r="C378" s="50" t="n"/>
      <c r="D378" s="50" t="n"/>
    </row>
    <row r="379" ht="15.75" customHeight="1" s="105">
      <c r="B379" s="50" t="n"/>
      <c r="C379" s="50" t="n"/>
      <c r="D379" s="50" t="n"/>
    </row>
    <row r="380" ht="15.75" customHeight="1" s="105">
      <c r="B380" s="50" t="n"/>
      <c r="C380" s="50" t="n"/>
      <c r="D380" s="50" t="n"/>
    </row>
    <row r="381" ht="15.75" customHeight="1" s="105">
      <c r="B381" s="50" t="n"/>
      <c r="C381" s="50" t="n"/>
      <c r="D381" s="50" t="n"/>
    </row>
    <row r="382" ht="15.75" customHeight="1" s="105">
      <c r="B382" s="50" t="n"/>
      <c r="C382" s="50" t="n"/>
      <c r="D382" s="50" t="n"/>
    </row>
    <row r="383" ht="15.75" customHeight="1" s="105">
      <c r="B383" s="50" t="n"/>
      <c r="C383" s="50" t="n"/>
      <c r="D383" s="50" t="n"/>
    </row>
    <row r="384" ht="15.75" customHeight="1" s="105">
      <c r="B384" s="50" t="n"/>
      <c r="C384" s="50" t="n"/>
      <c r="D384" s="50" t="n"/>
    </row>
    <row r="385" ht="15.75" customHeight="1" s="105">
      <c r="B385" s="50" t="n"/>
      <c r="C385" s="50" t="n"/>
      <c r="D385" s="50" t="n"/>
    </row>
    <row r="386" ht="15.75" customHeight="1" s="105">
      <c r="B386" s="50" t="n"/>
      <c r="C386" s="50" t="n"/>
      <c r="D386" s="50" t="n"/>
    </row>
    <row r="387" ht="15.75" customHeight="1" s="105">
      <c r="B387" s="50" t="n"/>
      <c r="C387" s="50" t="n"/>
      <c r="D387" s="50" t="n"/>
    </row>
    <row r="388" ht="15.75" customHeight="1" s="105">
      <c r="B388" s="50" t="n"/>
      <c r="C388" s="50" t="n"/>
      <c r="D388" s="50" t="n"/>
    </row>
    <row r="389" ht="15.75" customHeight="1" s="105">
      <c r="B389" s="50" t="n"/>
      <c r="C389" s="50" t="n"/>
      <c r="D389" s="50" t="n"/>
    </row>
    <row r="390" ht="15.75" customHeight="1" s="105">
      <c r="B390" s="50" t="n"/>
      <c r="C390" s="50" t="n"/>
      <c r="D390" s="50" t="n"/>
    </row>
    <row r="391" ht="15.75" customHeight="1" s="105">
      <c r="B391" s="50" t="n"/>
      <c r="C391" s="50" t="n"/>
      <c r="D391" s="50" t="n"/>
    </row>
    <row r="392" ht="15.75" customHeight="1" s="105">
      <c r="B392" s="50" t="n"/>
      <c r="C392" s="50" t="n"/>
      <c r="D392" s="50" t="n"/>
    </row>
    <row r="393" ht="15.75" customHeight="1" s="105">
      <c r="B393" s="50" t="n"/>
      <c r="C393" s="50" t="n"/>
      <c r="D393" s="50" t="n"/>
    </row>
    <row r="394" ht="15.75" customHeight="1" s="105">
      <c r="B394" s="50" t="n"/>
      <c r="C394" s="50" t="n"/>
      <c r="D394" s="50" t="n"/>
    </row>
    <row r="395" ht="15.75" customHeight="1" s="105">
      <c r="B395" s="50" t="n"/>
      <c r="C395" s="50" t="n"/>
      <c r="D395" s="50" t="n"/>
    </row>
    <row r="396" ht="15.75" customHeight="1" s="105">
      <c r="B396" s="50" t="n"/>
      <c r="C396" s="50" t="n"/>
      <c r="D396" s="50" t="n"/>
    </row>
    <row r="397" ht="15.75" customHeight="1" s="105">
      <c r="B397" s="50" t="n"/>
      <c r="C397" s="50" t="n"/>
      <c r="D397" s="50" t="n"/>
    </row>
    <row r="398" ht="15.75" customHeight="1" s="105">
      <c r="B398" s="50" t="n"/>
      <c r="C398" s="50" t="n"/>
      <c r="D398" s="50" t="n"/>
    </row>
    <row r="399" ht="15.75" customHeight="1" s="105">
      <c r="B399" s="50" t="n"/>
      <c r="C399" s="50" t="n"/>
      <c r="D399" s="50" t="n"/>
    </row>
    <row r="400" ht="15.75" customHeight="1" s="105">
      <c r="B400" s="50" t="n"/>
      <c r="C400" s="50" t="n"/>
      <c r="D400" s="50" t="n"/>
    </row>
    <row r="401" ht="15.75" customHeight="1" s="105">
      <c r="B401" s="50" t="n"/>
      <c r="C401" s="50" t="n"/>
      <c r="D401" s="50" t="n"/>
    </row>
    <row r="402" ht="15.75" customHeight="1" s="105">
      <c r="B402" s="50" t="n"/>
      <c r="C402" s="50" t="n"/>
      <c r="D402" s="50" t="n"/>
    </row>
    <row r="403" ht="15.75" customHeight="1" s="105">
      <c r="B403" s="50" t="n"/>
      <c r="C403" s="50" t="n"/>
      <c r="D403" s="50" t="n"/>
    </row>
    <row r="404" ht="15.75" customHeight="1" s="105">
      <c r="B404" s="50" t="n"/>
      <c r="C404" s="50" t="n"/>
      <c r="D404" s="50" t="n"/>
    </row>
    <row r="405" ht="15.75" customHeight="1" s="105">
      <c r="B405" s="50" t="n"/>
      <c r="C405" s="50" t="n"/>
      <c r="D405" s="50" t="n"/>
    </row>
    <row r="406" ht="15.75" customHeight="1" s="105">
      <c r="B406" s="50" t="n"/>
      <c r="C406" s="50" t="n"/>
      <c r="D406" s="50" t="n"/>
    </row>
    <row r="407" ht="15.75" customHeight="1" s="105">
      <c r="B407" s="50" t="n"/>
      <c r="C407" s="50" t="n"/>
      <c r="D407" s="50" t="n"/>
    </row>
    <row r="408" ht="15.75" customHeight="1" s="105">
      <c r="B408" s="50" t="n"/>
      <c r="C408" s="50" t="n"/>
      <c r="D408" s="50" t="n"/>
    </row>
    <row r="409" ht="15.75" customHeight="1" s="105">
      <c r="B409" s="50" t="n"/>
      <c r="C409" s="50" t="n"/>
      <c r="D409" s="50" t="n"/>
    </row>
    <row r="410" ht="15.75" customHeight="1" s="105">
      <c r="B410" s="50" t="n"/>
      <c r="C410" s="50" t="n"/>
      <c r="D410" s="50" t="n"/>
    </row>
    <row r="411" ht="15.75" customHeight="1" s="105">
      <c r="B411" s="50" t="n"/>
      <c r="C411" s="50" t="n"/>
      <c r="D411" s="50" t="n"/>
    </row>
    <row r="412" ht="15.75" customHeight="1" s="105">
      <c r="B412" s="50" t="n"/>
      <c r="C412" s="50" t="n"/>
      <c r="D412" s="50" t="n"/>
    </row>
    <row r="413" ht="15.75" customHeight="1" s="105">
      <c r="B413" s="50" t="n"/>
      <c r="C413" s="50" t="n"/>
      <c r="D413" s="50" t="n"/>
    </row>
    <row r="414" ht="15.75" customHeight="1" s="105">
      <c r="B414" s="50" t="n"/>
      <c r="C414" s="50" t="n"/>
      <c r="D414" s="50" t="n"/>
    </row>
    <row r="415" ht="15.75" customHeight="1" s="105">
      <c r="B415" s="50" t="n"/>
      <c r="C415" s="50" t="n"/>
      <c r="D415" s="50" t="n"/>
    </row>
    <row r="416" ht="15.75" customHeight="1" s="105">
      <c r="B416" s="50" t="n"/>
      <c r="C416" s="50" t="n"/>
      <c r="D416" s="50" t="n"/>
    </row>
    <row r="417" ht="15.75" customHeight="1" s="105">
      <c r="B417" s="50" t="n"/>
      <c r="C417" s="50" t="n"/>
      <c r="D417" s="50" t="n"/>
    </row>
    <row r="418" ht="15.75" customHeight="1" s="105">
      <c r="B418" s="50" t="n"/>
      <c r="C418" s="50" t="n"/>
      <c r="D418" s="50" t="n"/>
    </row>
    <row r="419" ht="15.75" customHeight="1" s="105">
      <c r="B419" s="50" t="n"/>
      <c r="C419" s="50" t="n"/>
      <c r="D419" s="50" t="n"/>
    </row>
    <row r="420" ht="15.75" customHeight="1" s="105">
      <c r="B420" s="50" t="n"/>
      <c r="C420" s="50" t="n"/>
      <c r="D420" s="50" t="n"/>
    </row>
    <row r="421" ht="15.75" customHeight="1" s="105">
      <c r="B421" s="50" t="n"/>
      <c r="C421" s="50" t="n"/>
      <c r="D421" s="50" t="n"/>
    </row>
    <row r="422" ht="15.75" customHeight="1" s="105">
      <c r="B422" s="50" t="n"/>
      <c r="C422" s="50" t="n"/>
      <c r="D422" s="50" t="n"/>
    </row>
    <row r="423" ht="15.75" customHeight="1" s="105">
      <c r="B423" s="50" t="n"/>
      <c r="C423" s="50" t="n"/>
      <c r="D423" s="50" t="n"/>
    </row>
    <row r="424" ht="15.75" customHeight="1" s="105">
      <c r="B424" s="50" t="n"/>
      <c r="C424" s="50" t="n"/>
      <c r="D424" s="50" t="n"/>
    </row>
    <row r="425" ht="15.75" customHeight="1" s="105">
      <c r="B425" s="50" t="n"/>
      <c r="C425" s="50" t="n"/>
      <c r="D425" s="50" t="n"/>
    </row>
    <row r="426" ht="15.75" customHeight="1" s="105">
      <c r="B426" s="50" t="n"/>
      <c r="C426" s="50" t="n"/>
      <c r="D426" s="50" t="n"/>
    </row>
    <row r="427" ht="15.75" customHeight="1" s="105">
      <c r="B427" s="50" t="n"/>
      <c r="C427" s="50" t="n"/>
      <c r="D427" s="50" t="n"/>
    </row>
    <row r="428" ht="15.75" customHeight="1" s="105">
      <c r="B428" s="50" t="n"/>
      <c r="C428" s="50" t="n"/>
      <c r="D428" s="50" t="n"/>
    </row>
    <row r="429" ht="15.75" customHeight="1" s="105">
      <c r="B429" s="50" t="n"/>
      <c r="C429" s="50" t="n"/>
      <c r="D429" s="50" t="n"/>
    </row>
    <row r="430" ht="15.75" customHeight="1" s="105">
      <c r="B430" s="50" t="n"/>
      <c r="C430" s="50" t="n"/>
      <c r="D430" s="50" t="n"/>
    </row>
    <row r="431" ht="15.75" customHeight="1" s="105">
      <c r="B431" s="50" t="n"/>
      <c r="C431" s="50" t="n"/>
      <c r="D431" s="50" t="n"/>
    </row>
    <row r="432" ht="15.75" customHeight="1" s="105">
      <c r="B432" s="50" t="n"/>
      <c r="C432" s="50" t="n"/>
      <c r="D432" s="50" t="n"/>
    </row>
    <row r="433" ht="15.75" customHeight="1" s="105">
      <c r="B433" s="50" t="n"/>
      <c r="C433" s="50" t="n"/>
      <c r="D433" s="50" t="n"/>
    </row>
    <row r="434" ht="15.75" customHeight="1" s="105">
      <c r="B434" s="50" t="n"/>
      <c r="C434" s="50" t="n"/>
      <c r="D434" s="50" t="n"/>
    </row>
    <row r="435" ht="15.75" customHeight="1" s="105">
      <c r="B435" s="50" t="n"/>
      <c r="C435" s="50" t="n"/>
      <c r="D435" s="50" t="n"/>
    </row>
    <row r="436" ht="15.75" customHeight="1" s="105">
      <c r="B436" s="50" t="n"/>
      <c r="C436" s="50" t="n"/>
      <c r="D436" s="50" t="n"/>
    </row>
    <row r="437" ht="15.75" customHeight="1" s="105">
      <c r="B437" s="50" t="n"/>
      <c r="C437" s="50" t="n"/>
      <c r="D437" s="50" t="n"/>
    </row>
    <row r="438" ht="15.75" customHeight="1" s="105">
      <c r="B438" s="50" t="n"/>
      <c r="C438" s="50" t="n"/>
      <c r="D438" s="50" t="n"/>
    </row>
    <row r="439" ht="15.75" customHeight="1" s="105">
      <c r="B439" s="50" t="n"/>
      <c r="C439" s="50" t="n"/>
      <c r="D439" s="50" t="n"/>
    </row>
    <row r="440" ht="15.75" customHeight="1" s="105">
      <c r="B440" s="50" t="n"/>
      <c r="C440" s="50" t="n"/>
      <c r="D440" s="50" t="n"/>
    </row>
    <row r="441" ht="15.75" customHeight="1" s="105">
      <c r="B441" s="50" t="n"/>
      <c r="C441" s="50" t="n"/>
      <c r="D441" s="50" t="n"/>
    </row>
    <row r="442" ht="15.75" customHeight="1" s="105">
      <c r="B442" s="50" t="n"/>
      <c r="C442" s="50" t="n"/>
      <c r="D442" s="50" t="n"/>
    </row>
    <row r="443" ht="15.75" customHeight="1" s="105">
      <c r="B443" s="50" t="n"/>
      <c r="C443" s="50" t="n"/>
      <c r="D443" s="50" t="n"/>
    </row>
    <row r="444" ht="15.75" customHeight="1" s="105">
      <c r="B444" s="50" t="n"/>
      <c r="C444" s="50" t="n"/>
      <c r="D444" s="50" t="n"/>
    </row>
    <row r="445" ht="15.75" customHeight="1" s="105">
      <c r="B445" s="50" t="n"/>
      <c r="C445" s="50" t="n"/>
      <c r="D445" s="50" t="n"/>
    </row>
    <row r="446" ht="15.75" customHeight="1" s="105">
      <c r="B446" s="50" t="n"/>
      <c r="C446" s="50" t="n"/>
      <c r="D446" s="50" t="n"/>
    </row>
    <row r="447" ht="15.75" customHeight="1" s="105">
      <c r="B447" s="50" t="n"/>
      <c r="C447" s="50" t="n"/>
      <c r="D447" s="50" t="n"/>
    </row>
    <row r="448" ht="15.75" customHeight="1" s="105">
      <c r="B448" s="50" t="n"/>
      <c r="C448" s="50" t="n"/>
      <c r="D448" s="50" t="n"/>
    </row>
    <row r="449" ht="15.75" customHeight="1" s="105">
      <c r="B449" s="50" t="n"/>
      <c r="C449" s="50" t="n"/>
      <c r="D449" s="50" t="n"/>
    </row>
    <row r="450" ht="15.75" customHeight="1" s="105">
      <c r="B450" s="50" t="n"/>
      <c r="C450" s="50" t="n"/>
      <c r="D450" s="50" t="n"/>
    </row>
    <row r="451" ht="15.75" customHeight="1" s="105">
      <c r="B451" s="50" t="n"/>
      <c r="C451" s="50" t="n"/>
      <c r="D451" s="50" t="n"/>
    </row>
    <row r="452" ht="15.75" customHeight="1" s="105">
      <c r="B452" s="50" t="n"/>
      <c r="C452" s="50" t="n"/>
      <c r="D452" s="50" t="n"/>
    </row>
    <row r="453" ht="15.75" customHeight="1" s="105">
      <c r="B453" s="50" t="n"/>
      <c r="C453" s="50" t="n"/>
      <c r="D453" s="50" t="n"/>
    </row>
    <row r="454" ht="15.75" customHeight="1" s="105">
      <c r="B454" s="50" t="n"/>
      <c r="C454" s="50" t="n"/>
      <c r="D454" s="50" t="n"/>
    </row>
    <row r="455" ht="15.75" customHeight="1" s="105">
      <c r="B455" s="50" t="n"/>
      <c r="C455" s="50" t="n"/>
      <c r="D455" s="50" t="n"/>
    </row>
    <row r="456" ht="15.75" customHeight="1" s="105">
      <c r="B456" s="50" t="n"/>
      <c r="C456" s="50" t="n"/>
      <c r="D456" s="50" t="n"/>
    </row>
    <row r="457" ht="15.75" customHeight="1" s="105">
      <c r="B457" s="50" t="n"/>
      <c r="C457" s="50" t="n"/>
      <c r="D457" s="50" t="n"/>
    </row>
    <row r="458" ht="15.75" customHeight="1" s="105">
      <c r="B458" s="50" t="n"/>
      <c r="C458" s="50" t="n"/>
      <c r="D458" s="50" t="n"/>
    </row>
    <row r="459" ht="15.75" customHeight="1" s="105">
      <c r="B459" s="50" t="n"/>
      <c r="C459" s="50" t="n"/>
      <c r="D459" s="50" t="n"/>
    </row>
    <row r="460" ht="15.75" customHeight="1" s="105">
      <c r="B460" s="50" t="n"/>
      <c r="C460" s="50" t="n"/>
      <c r="D460" s="50" t="n"/>
    </row>
    <row r="461" ht="15.75" customHeight="1" s="105">
      <c r="B461" s="50" t="n"/>
      <c r="C461" s="50" t="n"/>
      <c r="D461" s="50" t="n"/>
    </row>
    <row r="462" ht="15.75" customHeight="1" s="105">
      <c r="B462" s="50" t="n"/>
      <c r="C462" s="50" t="n"/>
      <c r="D462" s="50" t="n"/>
    </row>
    <row r="463" ht="15.75" customHeight="1" s="105">
      <c r="B463" s="50" t="n"/>
      <c r="C463" s="50" t="n"/>
      <c r="D463" s="50" t="n"/>
    </row>
    <row r="464" ht="15.75" customHeight="1" s="105">
      <c r="B464" s="50" t="n"/>
      <c r="C464" s="50" t="n"/>
      <c r="D464" s="50" t="n"/>
    </row>
    <row r="465" ht="15.75" customHeight="1" s="105">
      <c r="B465" s="50" t="n"/>
      <c r="C465" s="50" t="n"/>
      <c r="D465" s="50" t="n"/>
    </row>
    <row r="466" ht="15.75" customHeight="1" s="105">
      <c r="B466" s="50" t="n"/>
      <c r="C466" s="50" t="n"/>
      <c r="D466" s="50" t="n"/>
    </row>
    <row r="467" ht="15.75" customHeight="1" s="105">
      <c r="B467" s="50" t="n"/>
      <c r="C467" s="50" t="n"/>
      <c r="D467" s="50" t="n"/>
    </row>
    <row r="468" ht="15.75" customHeight="1" s="105">
      <c r="B468" s="50" t="n"/>
      <c r="C468" s="50" t="n"/>
      <c r="D468" s="50" t="n"/>
    </row>
    <row r="469" ht="15.75" customHeight="1" s="105">
      <c r="B469" s="50" t="n"/>
      <c r="C469" s="50" t="n"/>
      <c r="D469" s="50" t="n"/>
    </row>
    <row r="470" ht="15.75" customHeight="1" s="105">
      <c r="B470" s="50" t="n"/>
      <c r="C470" s="50" t="n"/>
      <c r="D470" s="50" t="n"/>
    </row>
    <row r="471" ht="15.75" customHeight="1" s="105">
      <c r="B471" s="50" t="n"/>
      <c r="C471" s="50" t="n"/>
      <c r="D471" s="50" t="n"/>
    </row>
    <row r="472" ht="15.75" customHeight="1" s="105">
      <c r="B472" s="50" t="n"/>
      <c r="C472" s="50" t="n"/>
      <c r="D472" s="50" t="n"/>
    </row>
    <row r="473" ht="15.75" customHeight="1" s="105">
      <c r="B473" s="50" t="n"/>
      <c r="C473" s="50" t="n"/>
      <c r="D473" s="50" t="n"/>
    </row>
    <row r="474" ht="15.75" customHeight="1" s="105">
      <c r="B474" s="50" t="n"/>
      <c r="C474" s="50" t="n"/>
      <c r="D474" s="50" t="n"/>
    </row>
    <row r="475" ht="15.75" customHeight="1" s="105">
      <c r="B475" s="50" t="n"/>
      <c r="C475" s="50" t="n"/>
      <c r="D475" s="50" t="n"/>
    </row>
    <row r="476" ht="15.75" customHeight="1" s="105">
      <c r="B476" s="50" t="n"/>
      <c r="C476" s="50" t="n"/>
      <c r="D476" s="50" t="n"/>
    </row>
    <row r="477" ht="15.75" customHeight="1" s="105">
      <c r="B477" s="50" t="n"/>
      <c r="C477" s="50" t="n"/>
      <c r="D477" s="50" t="n"/>
    </row>
    <row r="478" ht="15.75" customHeight="1" s="105">
      <c r="B478" s="50" t="n"/>
      <c r="C478" s="50" t="n"/>
      <c r="D478" s="50" t="n"/>
    </row>
    <row r="479" ht="15.75" customHeight="1" s="105">
      <c r="B479" s="50" t="n"/>
      <c r="C479" s="50" t="n"/>
      <c r="D479" s="50" t="n"/>
    </row>
    <row r="480" ht="15.75" customHeight="1" s="105">
      <c r="B480" s="50" t="n"/>
      <c r="C480" s="50" t="n"/>
      <c r="D480" s="50" t="n"/>
    </row>
    <row r="481" ht="15.75" customHeight="1" s="105">
      <c r="B481" s="50" t="n"/>
      <c r="C481" s="50" t="n"/>
      <c r="D481" s="50" t="n"/>
    </row>
    <row r="482" ht="15.75" customHeight="1" s="105">
      <c r="B482" s="50" t="n"/>
      <c r="C482" s="50" t="n"/>
      <c r="D482" s="50" t="n"/>
    </row>
    <row r="483" ht="15.75" customHeight="1" s="105">
      <c r="B483" s="50" t="n"/>
      <c r="C483" s="50" t="n"/>
      <c r="D483" s="50" t="n"/>
    </row>
    <row r="484" ht="15.75" customHeight="1" s="105">
      <c r="B484" s="50" t="n"/>
      <c r="C484" s="50" t="n"/>
      <c r="D484" s="50" t="n"/>
    </row>
    <row r="485" ht="15.75" customHeight="1" s="105">
      <c r="B485" s="50" t="n"/>
      <c r="C485" s="50" t="n"/>
      <c r="D485" s="50" t="n"/>
    </row>
    <row r="486" ht="15.75" customHeight="1" s="105">
      <c r="B486" s="50" t="n"/>
      <c r="C486" s="50" t="n"/>
      <c r="D486" s="50" t="n"/>
    </row>
    <row r="487" ht="15.75" customHeight="1" s="105">
      <c r="B487" s="50" t="n"/>
      <c r="C487" s="50" t="n"/>
      <c r="D487" s="50" t="n"/>
    </row>
    <row r="488" ht="15.75" customHeight="1" s="105">
      <c r="B488" s="50" t="n"/>
      <c r="C488" s="50" t="n"/>
      <c r="D488" s="50" t="n"/>
    </row>
    <row r="489" ht="15.75" customHeight="1" s="105">
      <c r="B489" s="50" t="n"/>
      <c r="C489" s="50" t="n"/>
      <c r="D489" s="50" t="n"/>
    </row>
    <row r="490" ht="15.75" customHeight="1" s="105">
      <c r="B490" s="50" t="n"/>
      <c r="C490" s="50" t="n"/>
      <c r="D490" s="50" t="n"/>
    </row>
    <row r="491" ht="15.75" customHeight="1" s="105">
      <c r="B491" s="50" t="n"/>
      <c r="C491" s="50" t="n"/>
      <c r="D491" s="50" t="n"/>
    </row>
    <row r="492" ht="15.75" customHeight="1" s="105">
      <c r="B492" s="50" t="n"/>
      <c r="C492" s="50" t="n"/>
      <c r="D492" s="50" t="n"/>
    </row>
    <row r="493" ht="15.75" customHeight="1" s="105">
      <c r="B493" s="50" t="n"/>
      <c r="C493" s="50" t="n"/>
      <c r="D493" s="50" t="n"/>
    </row>
    <row r="494" ht="15.75" customHeight="1" s="105">
      <c r="B494" s="50" t="n"/>
      <c r="C494" s="50" t="n"/>
      <c r="D494" s="50" t="n"/>
    </row>
    <row r="495" ht="15.75" customHeight="1" s="105">
      <c r="B495" s="50" t="n"/>
      <c r="C495" s="50" t="n"/>
      <c r="D495" s="50" t="n"/>
    </row>
    <row r="496" ht="15.75" customHeight="1" s="105">
      <c r="B496" s="50" t="n"/>
      <c r="C496" s="50" t="n"/>
      <c r="D496" s="50" t="n"/>
    </row>
    <row r="497" ht="15.75" customHeight="1" s="105">
      <c r="B497" s="50" t="n"/>
      <c r="C497" s="50" t="n"/>
      <c r="D497" s="50" t="n"/>
    </row>
    <row r="498" ht="15.75" customHeight="1" s="105">
      <c r="B498" s="50" t="n"/>
      <c r="C498" s="50" t="n"/>
      <c r="D498" s="50" t="n"/>
    </row>
    <row r="499" ht="15.75" customHeight="1" s="105">
      <c r="B499" s="50" t="n"/>
      <c r="C499" s="50" t="n"/>
      <c r="D499" s="50" t="n"/>
    </row>
    <row r="500" ht="15.75" customHeight="1" s="105">
      <c r="B500" s="50" t="n"/>
      <c r="C500" s="50" t="n"/>
      <c r="D500" s="50" t="n"/>
    </row>
    <row r="501" ht="15.75" customHeight="1" s="105">
      <c r="B501" s="50" t="n"/>
      <c r="C501" s="50" t="n"/>
      <c r="D501" s="50" t="n"/>
    </row>
    <row r="502" ht="15.75" customHeight="1" s="105">
      <c r="B502" s="50" t="n"/>
      <c r="C502" s="50" t="n"/>
      <c r="D502" s="50" t="n"/>
    </row>
    <row r="503" ht="15.75" customHeight="1" s="105">
      <c r="B503" s="50" t="n"/>
      <c r="C503" s="50" t="n"/>
      <c r="D503" s="50" t="n"/>
    </row>
    <row r="504" ht="15.75" customHeight="1" s="105">
      <c r="B504" s="50" t="n"/>
      <c r="C504" s="50" t="n"/>
      <c r="D504" s="50" t="n"/>
    </row>
    <row r="505" ht="15.75" customHeight="1" s="105">
      <c r="B505" s="50" t="n"/>
      <c r="C505" s="50" t="n"/>
      <c r="D505" s="50" t="n"/>
    </row>
    <row r="506" ht="15.75" customHeight="1" s="105">
      <c r="B506" s="50" t="n"/>
      <c r="C506" s="50" t="n"/>
      <c r="D506" s="50" t="n"/>
    </row>
    <row r="507" ht="15.75" customHeight="1" s="105">
      <c r="B507" s="50" t="n"/>
      <c r="C507" s="50" t="n"/>
      <c r="D507" s="50" t="n"/>
    </row>
    <row r="508" ht="15.75" customHeight="1" s="105">
      <c r="B508" s="50" t="n"/>
      <c r="C508" s="50" t="n"/>
      <c r="D508" s="50" t="n"/>
    </row>
    <row r="509" ht="15.75" customHeight="1" s="105">
      <c r="B509" s="50" t="n"/>
      <c r="C509" s="50" t="n"/>
      <c r="D509" s="50" t="n"/>
    </row>
    <row r="510" ht="15.75" customHeight="1" s="105">
      <c r="B510" s="50" t="n"/>
      <c r="C510" s="50" t="n"/>
      <c r="D510" s="50" t="n"/>
    </row>
    <row r="511" ht="15.75" customHeight="1" s="105">
      <c r="B511" s="50" t="n"/>
      <c r="C511" s="50" t="n"/>
      <c r="D511" s="50" t="n"/>
    </row>
    <row r="512" ht="15.75" customHeight="1" s="105">
      <c r="B512" s="50" t="n"/>
      <c r="C512" s="50" t="n"/>
      <c r="D512" s="50" t="n"/>
    </row>
    <row r="513" ht="15.75" customHeight="1" s="105">
      <c r="B513" s="50" t="n"/>
      <c r="C513" s="50" t="n"/>
      <c r="D513" s="50" t="n"/>
    </row>
    <row r="514" ht="15.75" customHeight="1" s="105">
      <c r="B514" s="50" t="n"/>
      <c r="C514" s="50" t="n"/>
      <c r="D514" s="50" t="n"/>
    </row>
    <row r="515" ht="15.75" customHeight="1" s="105">
      <c r="B515" s="50" t="n"/>
      <c r="C515" s="50" t="n"/>
      <c r="D515" s="50" t="n"/>
    </row>
    <row r="516" ht="15.75" customHeight="1" s="105">
      <c r="B516" s="50" t="n"/>
      <c r="C516" s="50" t="n"/>
      <c r="D516" s="50" t="n"/>
    </row>
    <row r="517" ht="15.75" customHeight="1" s="105">
      <c r="B517" s="50" t="n"/>
      <c r="C517" s="50" t="n"/>
      <c r="D517" s="50" t="n"/>
    </row>
    <row r="518" ht="15.75" customHeight="1" s="105">
      <c r="B518" s="50" t="n"/>
      <c r="C518" s="50" t="n"/>
      <c r="D518" s="50" t="n"/>
    </row>
    <row r="519" ht="15.75" customHeight="1" s="105">
      <c r="B519" s="50" t="n"/>
      <c r="C519" s="50" t="n"/>
      <c r="D519" s="50" t="n"/>
    </row>
    <row r="520" ht="15.75" customHeight="1" s="105">
      <c r="B520" s="50" t="n"/>
      <c r="C520" s="50" t="n"/>
      <c r="D520" s="50" t="n"/>
    </row>
    <row r="521" ht="15.75" customHeight="1" s="105">
      <c r="B521" s="50" t="n"/>
      <c r="C521" s="50" t="n"/>
      <c r="D521" s="50" t="n"/>
    </row>
    <row r="522" ht="15.75" customHeight="1" s="105">
      <c r="B522" s="50" t="n"/>
      <c r="C522" s="50" t="n"/>
      <c r="D522" s="50" t="n"/>
    </row>
    <row r="523" ht="15.75" customHeight="1" s="105">
      <c r="B523" s="50" t="n"/>
      <c r="C523" s="50" t="n"/>
      <c r="D523" s="50" t="n"/>
    </row>
    <row r="524" ht="15.75" customHeight="1" s="105">
      <c r="B524" s="50" t="n"/>
      <c r="C524" s="50" t="n"/>
      <c r="D524" s="50" t="n"/>
    </row>
    <row r="525" ht="15.75" customHeight="1" s="105">
      <c r="B525" s="50" t="n"/>
      <c r="C525" s="50" t="n"/>
      <c r="D525" s="50" t="n"/>
    </row>
    <row r="526" ht="15.75" customHeight="1" s="105">
      <c r="B526" s="50" t="n"/>
      <c r="C526" s="50" t="n"/>
      <c r="D526" s="50" t="n"/>
    </row>
    <row r="527" ht="15.75" customHeight="1" s="105">
      <c r="B527" s="50" t="n"/>
      <c r="C527" s="50" t="n"/>
      <c r="D527" s="50" t="n"/>
    </row>
    <row r="528" ht="15.75" customHeight="1" s="105">
      <c r="B528" s="50" t="n"/>
      <c r="C528" s="50" t="n"/>
      <c r="D528" s="50" t="n"/>
    </row>
    <row r="529" ht="15.75" customHeight="1" s="105">
      <c r="B529" s="50" t="n"/>
      <c r="C529" s="50" t="n"/>
      <c r="D529" s="50" t="n"/>
    </row>
    <row r="530" ht="15.75" customHeight="1" s="105">
      <c r="B530" s="50" t="n"/>
      <c r="C530" s="50" t="n"/>
      <c r="D530" s="50" t="n"/>
    </row>
    <row r="531" ht="15.75" customHeight="1" s="105">
      <c r="B531" s="50" t="n"/>
      <c r="C531" s="50" t="n"/>
      <c r="D531" s="50" t="n"/>
    </row>
    <row r="532" ht="15.75" customHeight="1" s="105">
      <c r="B532" s="50" t="n"/>
      <c r="C532" s="50" t="n"/>
      <c r="D532" s="50" t="n"/>
    </row>
    <row r="533" ht="15.75" customHeight="1" s="105">
      <c r="B533" s="50" t="n"/>
      <c r="C533" s="50" t="n"/>
      <c r="D533" s="50" t="n"/>
    </row>
    <row r="534" ht="15.75" customHeight="1" s="105">
      <c r="B534" s="50" t="n"/>
      <c r="C534" s="50" t="n"/>
      <c r="D534" s="50" t="n"/>
    </row>
    <row r="535" ht="15.75" customHeight="1" s="105">
      <c r="B535" s="50" t="n"/>
      <c r="C535" s="50" t="n"/>
      <c r="D535" s="50" t="n"/>
    </row>
    <row r="536" ht="15.75" customHeight="1" s="105">
      <c r="B536" s="50" t="n"/>
      <c r="C536" s="50" t="n"/>
      <c r="D536" s="50" t="n"/>
    </row>
    <row r="537" ht="15.75" customHeight="1" s="105">
      <c r="B537" s="50" t="n"/>
      <c r="C537" s="50" t="n"/>
      <c r="D537" s="50" t="n"/>
    </row>
    <row r="538" ht="15.75" customHeight="1" s="105">
      <c r="B538" s="50" t="n"/>
      <c r="C538" s="50" t="n"/>
      <c r="D538" s="50" t="n"/>
    </row>
    <row r="539" ht="15.75" customHeight="1" s="105">
      <c r="B539" s="50" t="n"/>
      <c r="C539" s="50" t="n"/>
      <c r="D539" s="50" t="n"/>
    </row>
    <row r="540" ht="15.75" customHeight="1" s="105">
      <c r="B540" s="50" t="n"/>
      <c r="C540" s="50" t="n"/>
      <c r="D540" s="50" t="n"/>
    </row>
    <row r="541" ht="15.75" customHeight="1" s="105">
      <c r="B541" s="50" t="n"/>
      <c r="C541" s="50" t="n"/>
      <c r="D541" s="50" t="n"/>
    </row>
    <row r="542" ht="15.75" customHeight="1" s="105">
      <c r="B542" s="50" t="n"/>
      <c r="C542" s="50" t="n"/>
      <c r="D542" s="50" t="n"/>
    </row>
    <row r="543" ht="15.75" customHeight="1" s="105">
      <c r="B543" s="50" t="n"/>
      <c r="C543" s="50" t="n"/>
      <c r="D543" s="50" t="n"/>
    </row>
    <row r="544" ht="15.75" customHeight="1" s="105">
      <c r="B544" s="50" t="n"/>
      <c r="C544" s="50" t="n"/>
      <c r="D544" s="50" t="n"/>
    </row>
    <row r="545" ht="15.75" customHeight="1" s="105">
      <c r="B545" s="50" t="n"/>
      <c r="C545" s="50" t="n"/>
      <c r="D545" s="50" t="n"/>
    </row>
    <row r="546" ht="15.75" customHeight="1" s="105">
      <c r="B546" s="50" t="n"/>
      <c r="C546" s="50" t="n"/>
      <c r="D546" s="50" t="n"/>
    </row>
    <row r="547" ht="15.75" customHeight="1" s="105">
      <c r="B547" s="50" t="n"/>
      <c r="C547" s="50" t="n"/>
      <c r="D547" s="50" t="n"/>
    </row>
    <row r="548" ht="15.75" customHeight="1" s="105">
      <c r="B548" s="50" t="n"/>
      <c r="C548" s="50" t="n"/>
      <c r="D548" s="50" t="n"/>
    </row>
    <row r="549" ht="15.75" customHeight="1" s="105">
      <c r="B549" s="50" t="n"/>
      <c r="C549" s="50" t="n"/>
      <c r="D549" s="50" t="n"/>
    </row>
    <row r="550" ht="15.75" customHeight="1" s="105">
      <c r="B550" s="50" t="n"/>
      <c r="C550" s="50" t="n"/>
      <c r="D550" s="50" t="n"/>
    </row>
    <row r="551" ht="15.75" customHeight="1" s="105">
      <c r="B551" s="50" t="n"/>
      <c r="C551" s="50" t="n"/>
      <c r="D551" s="50" t="n"/>
    </row>
    <row r="552" ht="15.75" customHeight="1" s="105">
      <c r="B552" s="50" t="n"/>
      <c r="C552" s="50" t="n"/>
      <c r="D552" s="50" t="n"/>
    </row>
    <row r="553" ht="15.75" customHeight="1" s="105">
      <c r="B553" s="50" t="n"/>
      <c r="C553" s="50" t="n"/>
      <c r="D553" s="50" t="n"/>
    </row>
    <row r="554" ht="15.75" customHeight="1" s="105">
      <c r="B554" s="50" t="n"/>
      <c r="C554" s="50" t="n"/>
      <c r="D554" s="50" t="n"/>
    </row>
    <row r="555" ht="15.75" customHeight="1" s="105">
      <c r="B555" s="50" t="n"/>
      <c r="C555" s="50" t="n"/>
      <c r="D555" s="50" t="n"/>
    </row>
    <row r="556" ht="15.75" customHeight="1" s="105">
      <c r="B556" s="50" t="n"/>
      <c r="C556" s="50" t="n"/>
      <c r="D556" s="50" t="n"/>
    </row>
    <row r="557" ht="15.75" customHeight="1" s="105">
      <c r="B557" s="50" t="n"/>
      <c r="C557" s="50" t="n"/>
      <c r="D557" s="50" t="n"/>
    </row>
    <row r="558" ht="15.75" customHeight="1" s="105">
      <c r="B558" s="50" t="n"/>
      <c r="C558" s="50" t="n"/>
      <c r="D558" s="50" t="n"/>
    </row>
    <row r="559" ht="15.75" customHeight="1" s="105">
      <c r="B559" s="50" t="n"/>
      <c r="C559" s="50" t="n"/>
      <c r="D559" s="50" t="n"/>
    </row>
    <row r="560" ht="15.75" customHeight="1" s="105">
      <c r="B560" s="50" t="n"/>
      <c r="C560" s="50" t="n"/>
      <c r="D560" s="50" t="n"/>
    </row>
    <row r="561" ht="15.75" customHeight="1" s="105">
      <c r="B561" s="50" t="n"/>
      <c r="C561" s="50" t="n"/>
      <c r="D561" s="50" t="n"/>
    </row>
    <row r="562" ht="15.75" customHeight="1" s="105">
      <c r="B562" s="50" t="n"/>
      <c r="C562" s="50" t="n"/>
      <c r="D562" s="50" t="n"/>
    </row>
    <row r="563" ht="15.75" customHeight="1" s="105">
      <c r="B563" s="50" t="n"/>
      <c r="C563" s="50" t="n"/>
      <c r="D563" s="50" t="n"/>
    </row>
    <row r="564" ht="15.75" customHeight="1" s="105">
      <c r="B564" s="50" t="n"/>
      <c r="C564" s="50" t="n"/>
      <c r="D564" s="50" t="n"/>
    </row>
    <row r="565" ht="15.75" customHeight="1" s="105">
      <c r="B565" s="50" t="n"/>
      <c r="C565" s="50" t="n"/>
      <c r="D565" s="50" t="n"/>
    </row>
    <row r="566" ht="15.75" customHeight="1" s="105">
      <c r="B566" s="50" t="n"/>
      <c r="C566" s="50" t="n"/>
      <c r="D566" s="50" t="n"/>
    </row>
    <row r="567" ht="15.75" customHeight="1" s="105">
      <c r="B567" s="50" t="n"/>
      <c r="C567" s="50" t="n"/>
      <c r="D567" s="50" t="n"/>
    </row>
    <row r="568" ht="15.75" customHeight="1" s="105">
      <c r="B568" s="50" t="n"/>
      <c r="C568" s="50" t="n"/>
      <c r="D568" s="50" t="n"/>
    </row>
    <row r="569" ht="15.75" customHeight="1" s="105">
      <c r="B569" s="50" t="n"/>
      <c r="C569" s="50" t="n"/>
      <c r="D569" s="50" t="n"/>
    </row>
    <row r="570" ht="15.75" customHeight="1" s="105">
      <c r="B570" s="50" t="n"/>
      <c r="C570" s="50" t="n"/>
      <c r="D570" s="50" t="n"/>
    </row>
    <row r="571" ht="15.75" customHeight="1" s="105">
      <c r="B571" s="50" t="n"/>
      <c r="C571" s="50" t="n"/>
      <c r="D571" s="50" t="n"/>
    </row>
    <row r="572" ht="15.75" customHeight="1" s="105">
      <c r="B572" s="50" t="n"/>
      <c r="C572" s="50" t="n"/>
      <c r="D572" s="50" t="n"/>
    </row>
    <row r="573" ht="15.75" customHeight="1" s="105">
      <c r="B573" s="50" t="n"/>
      <c r="C573" s="50" t="n"/>
      <c r="D573" s="50" t="n"/>
    </row>
    <row r="574" ht="15.75" customHeight="1" s="105">
      <c r="B574" s="50" t="n"/>
      <c r="C574" s="50" t="n"/>
      <c r="D574" s="50" t="n"/>
    </row>
    <row r="575" ht="15.75" customHeight="1" s="105">
      <c r="B575" s="50" t="n"/>
      <c r="C575" s="50" t="n"/>
      <c r="D575" s="50" t="n"/>
    </row>
    <row r="576" ht="15.75" customHeight="1" s="105">
      <c r="B576" s="50" t="n"/>
      <c r="C576" s="50" t="n"/>
      <c r="D576" s="50" t="n"/>
    </row>
    <row r="577" ht="15.75" customHeight="1" s="105">
      <c r="B577" s="50" t="n"/>
      <c r="C577" s="50" t="n"/>
      <c r="D577" s="50" t="n"/>
    </row>
    <row r="578" ht="15.75" customHeight="1" s="105">
      <c r="B578" s="50" t="n"/>
      <c r="C578" s="50" t="n"/>
      <c r="D578" s="50" t="n"/>
    </row>
    <row r="579" ht="15.75" customHeight="1" s="105">
      <c r="B579" s="50" t="n"/>
      <c r="C579" s="50" t="n"/>
      <c r="D579" s="50" t="n"/>
    </row>
    <row r="580" ht="15.75" customHeight="1" s="105">
      <c r="B580" s="50" t="n"/>
      <c r="C580" s="50" t="n"/>
      <c r="D580" s="50" t="n"/>
    </row>
    <row r="581" ht="15.75" customHeight="1" s="105">
      <c r="B581" s="50" t="n"/>
      <c r="C581" s="50" t="n"/>
      <c r="D581" s="50" t="n"/>
    </row>
    <row r="582" ht="15.75" customHeight="1" s="105">
      <c r="B582" s="50" t="n"/>
      <c r="C582" s="50" t="n"/>
      <c r="D582" s="50" t="n"/>
    </row>
    <row r="583" ht="15.75" customHeight="1" s="105">
      <c r="B583" s="50" t="n"/>
      <c r="C583" s="50" t="n"/>
      <c r="D583" s="50" t="n"/>
    </row>
    <row r="584" ht="15.75" customHeight="1" s="105">
      <c r="B584" s="50" t="n"/>
      <c r="C584" s="50" t="n"/>
      <c r="D584" s="50" t="n"/>
    </row>
    <row r="585" ht="15.75" customHeight="1" s="105">
      <c r="B585" s="50" t="n"/>
      <c r="C585" s="50" t="n"/>
      <c r="D585" s="50" t="n"/>
    </row>
    <row r="586" ht="15.75" customHeight="1" s="105">
      <c r="B586" s="50" t="n"/>
      <c r="C586" s="50" t="n"/>
      <c r="D586" s="50" t="n"/>
    </row>
    <row r="587" ht="15.75" customHeight="1" s="105">
      <c r="B587" s="50" t="n"/>
      <c r="C587" s="50" t="n"/>
      <c r="D587" s="50" t="n"/>
    </row>
    <row r="588" ht="15.75" customHeight="1" s="105">
      <c r="B588" s="50" t="n"/>
      <c r="C588" s="50" t="n"/>
      <c r="D588" s="50" t="n"/>
    </row>
    <row r="589" ht="15.75" customHeight="1" s="105">
      <c r="B589" s="50" t="n"/>
      <c r="C589" s="50" t="n"/>
      <c r="D589" s="50" t="n"/>
    </row>
    <row r="590" ht="15.75" customHeight="1" s="105">
      <c r="B590" s="50" t="n"/>
      <c r="C590" s="50" t="n"/>
      <c r="D590" s="50" t="n"/>
    </row>
    <row r="591" ht="15.75" customHeight="1" s="105">
      <c r="B591" s="50" t="n"/>
      <c r="C591" s="50" t="n"/>
      <c r="D591" s="50" t="n"/>
    </row>
    <row r="592" ht="15.75" customHeight="1" s="105">
      <c r="B592" s="50" t="n"/>
      <c r="C592" s="50" t="n"/>
      <c r="D592" s="50" t="n"/>
    </row>
    <row r="593" ht="15.75" customHeight="1" s="105">
      <c r="B593" s="50" t="n"/>
      <c r="C593" s="50" t="n"/>
      <c r="D593" s="50" t="n"/>
    </row>
    <row r="594" ht="15.75" customHeight="1" s="105">
      <c r="B594" s="50" t="n"/>
      <c r="C594" s="50" t="n"/>
      <c r="D594" s="50" t="n"/>
    </row>
    <row r="595" ht="15.75" customHeight="1" s="105">
      <c r="B595" s="50" t="n"/>
      <c r="C595" s="50" t="n"/>
      <c r="D595" s="50" t="n"/>
    </row>
    <row r="596" ht="15.75" customHeight="1" s="105">
      <c r="B596" s="50" t="n"/>
      <c r="C596" s="50" t="n"/>
      <c r="D596" s="50" t="n"/>
    </row>
    <row r="597" ht="15.75" customHeight="1" s="105">
      <c r="B597" s="50" t="n"/>
      <c r="C597" s="50" t="n"/>
      <c r="D597" s="50" t="n"/>
    </row>
    <row r="598" ht="15.75" customHeight="1" s="105">
      <c r="B598" s="50" t="n"/>
      <c r="C598" s="50" t="n"/>
      <c r="D598" s="50" t="n"/>
    </row>
    <row r="599" ht="15.75" customHeight="1" s="105">
      <c r="B599" s="50" t="n"/>
      <c r="C599" s="50" t="n"/>
      <c r="D599" s="50" t="n"/>
    </row>
    <row r="600" ht="15.75" customHeight="1" s="105">
      <c r="B600" s="50" t="n"/>
      <c r="C600" s="50" t="n"/>
      <c r="D600" s="50" t="n"/>
    </row>
    <row r="601" ht="15.75" customHeight="1" s="105">
      <c r="B601" s="50" t="n"/>
      <c r="C601" s="50" t="n"/>
      <c r="D601" s="50" t="n"/>
    </row>
    <row r="602" ht="15.75" customHeight="1" s="105">
      <c r="B602" s="50" t="n"/>
      <c r="C602" s="50" t="n"/>
      <c r="D602" s="50" t="n"/>
    </row>
    <row r="603" ht="15.75" customHeight="1" s="105">
      <c r="B603" s="50" t="n"/>
      <c r="C603" s="50" t="n"/>
      <c r="D603" s="50" t="n"/>
    </row>
    <row r="604" ht="15.75" customHeight="1" s="105">
      <c r="B604" s="50" t="n"/>
      <c r="C604" s="50" t="n"/>
      <c r="D604" s="50" t="n"/>
    </row>
    <row r="605" ht="15.75" customHeight="1" s="105">
      <c r="B605" s="50" t="n"/>
      <c r="C605" s="50" t="n"/>
      <c r="D605" s="50" t="n"/>
    </row>
    <row r="606" ht="15.75" customHeight="1" s="105">
      <c r="B606" s="50" t="n"/>
      <c r="C606" s="50" t="n"/>
      <c r="D606" s="50" t="n"/>
    </row>
    <row r="607" ht="15.75" customHeight="1" s="105">
      <c r="B607" s="50" t="n"/>
      <c r="C607" s="50" t="n"/>
      <c r="D607" s="50" t="n"/>
    </row>
    <row r="608" ht="15.75" customHeight="1" s="105">
      <c r="B608" s="50" t="n"/>
      <c r="C608" s="50" t="n"/>
      <c r="D608" s="50" t="n"/>
    </row>
    <row r="609" ht="15.75" customHeight="1" s="105">
      <c r="B609" s="50" t="n"/>
      <c r="C609" s="50" t="n"/>
      <c r="D609" s="50" t="n"/>
    </row>
    <row r="610" ht="15.75" customHeight="1" s="105">
      <c r="B610" s="50" t="n"/>
      <c r="C610" s="50" t="n"/>
      <c r="D610" s="50" t="n"/>
    </row>
    <row r="611" ht="15.75" customHeight="1" s="105">
      <c r="B611" s="50" t="n"/>
      <c r="C611" s="50" t="n"/>
      <c r="D611" s="50" t="n"/>
    </row>
    <row r="612" ht="15.75" customHeight="1" s="105">
      <c r="B612" s="50" t="n"/>
      <c r="C612" s="50" t="n"/>
      <c r="D612" s="50" t="n"/>
    </row>
    <row r="613" ht="15.75" customHeight="1" s="105">
      <c r="B613" s="50" t="n"/>
      <c r="C613" s="50" t="n"/>
      <c r="D613" s="50" t="n"/>
    </row>
    <row r="614" ht="15.75" customHeight="1" s="105">
      <c r="B614" s="50" t="n"/>
      <c r="C614" s="50" t="n"/>
      <c r="D614" s="50" t="n"/>
    </row>
    <row r="615" ht="15.75" customHeight="1" s="105">
      <c r="B615" s="50" t="n"/>
      <c r="C615" s="50" t="n"/>
      <c r="D615" s="50" t="n"/>
    </row>
    <row r="616" ht="15.75" customHeight="1" s="105">
      <c r="B616" s="50" t="n"/>
      <c r="C616" s="50" t="n"/>
      <c r="D616" s="50" t="n"/>
    </row>
    <row r="617" ht="15.75" customHeight="1" s="105">
      <c r="B617" s="50" t="n"/>
      <c r="C617" s="50" t="n"/>
      <c r="D617" s="50" t="n"/>
    </row>
    <row r="618" ht="15.75" customHeight="1" s="105">
      <c r="B618" s="50" t="n"/>
      <c r="C618" s="50" t="n"/>
      <c r="D618" s="50" t="n"/>
    </row>
    <row r="619" ht="15.75" customHeight="1" s="105">
      <c r="B619" s="50" t="n"/>
      <c r="C619" s="50" t="n"/>
      <c r="D619" s="50" t="n"/>
    </row>
    <row r="620" ht="15.75" customHeight="1" s="105">
      <c r="B620" s="50" t="n"/>
      <c r="C620" s="50" t="n"/>
      <c r="D620" s="50" t="n"/>
    </row>
    <row r="621" ht="15.75" customHeight="1" s="105">
      <c r="B621" s="50" t="n"/>
      <c r="C621" s="50" t="n"/>
      <c r="D621" s="50" t="n"/>
    </row>
    <row r="622" ht="15.75" customHeight="1" s="105">
      <c r="B622" s="50" t="n"/>
      <c r="C622" s="50" t="n"/>
      <c r="D622" s="50" t="n"/>
    </row>
    <row r="623" ht="15.75" customHeight="1" s="105">
      <c r="B623" s="50" t="n"/>
      <c r="C623" s="50" t="n"/>
      <c r="D623" s="50" t="n"/>
    </row>
    <row r="624" ht="15.75" customHeight="1" s="105">
      <c r="B624" s="50" t="n"/>
      <c r="C624" s="50" t="n"/>
      <c r="D624" s="50" t="n"/>
    </row>
    <row r="625" ht="15.75" customHeight="1" s="105">
      <c r="B625" s="50" t="n"/>
      <c r="C625" s="50" t="n"/>
      <c r="D625" s="50" t="n"/>
    </row>
    <row r="626" ht="15.75" customHeight="1" s="105">
      <c r="B626" s="50" t="n"/>
      <c r="C626" s="50" t="n"/>
      <c r="D626" s="50" t="n"/>
    </row>
    <row r="627" ht="15.75" customHeight="1" s="105">
      <c r="B627" s="50" t="n"/>
      <c r="C627" s="50" t="n"/>
      <c r="D627" s="50" t="n"/>
    </row>
    <row r="628" ht="15.75" customHeight="1" s="105">
      <c r="B628" s="50" t="n"/>
      <c r="C628" s="50" t="n"/>
      <c r="D628" s="50" t="n"/>
    </row>
    <row r="629" ht="15.75" customHeight="1" s="105">
      <c r="B629" s="50" t="n"/>
      <c r="C629" s="50" t="n"/>
      <c r="D629" s="50" t="n"/>
    </row>
    <row r="630" ht="15.75" customHeight="1" s="105">
      <c r="B630" s="50" t="n"/>
      <c r="C630" s="50" t="n"/>
      <c r="D630" s="50" t="n"/>
    </row>
    <row r="631" ht="15.75" customHeight="1" s="105">
      <c r="B631" s="50" t="n"/>
      <c r="C631" s="50" t="n"/>
      <c r="D631" s="50" t="n"/>
    </row>
    <row r="632" ht="15.75" customHeight="1" s="105">
      <c r="B632" s="50" t="n"/>
      <c r="C632" s="50" t="n"/>
      <c r="D632" s="50" t="n"/>
    </row>
    <row r="633" ht="15.75" customHeight="1" s="105">
      <c r="B633" s="50" t="n"/>
      <c r="C633" s="50" t="n"/>
      <c r="D633" s="50" t="n"/>
    </row>
    <row r="634" ht="15.75" customHeight="1" s="105">
      <c r="B634" s="50" t="n"/>
      <c r="C634" s="50" t="n"/>
      <c r="D634" s="50" t="n"/>
    </row>
    <row r="635" ht="15.75" customHeight="1" s="105">
      <c r="B635" s="50" t="n"/>
      <c r="C635" s="50" t="n"/>
      <c r="D635" s="50" t="n"/>
    </row>
    <row r="636" ht="15.75" customHeight="1" s="105">
      <c r="B636" s="50" t="n"/>
      <c r="C636" s="50" t="n"/>
      <c r="D636" s="50" t="n"/>
    </row>
    <row r="637" ht="15.75" customHeight="1" s="105">
      <c r="B637" s="50" t="n"/>
      <c r="C637" s="50" t="n"/>
      <c r="D637" s="50" t="n"/>
    </row>
    <row r="638" ht="15.75" customHeight="1" s="105">
      <c r="B638" s="50" t="n"/>
      <c r="C638" s="50" t="n"/>
      <c r="D638" s="50" t="n"/>
    </row>
    <row r="639" ht="15.75" customHeight="1" s="105">
      <c r="B639" s="50" t="n"/>
      <c r="C639" s="50" t="n"/>
      <c r="D639" s="50" t="n"/>
    </row>
    <row r="640" ht="15.75" customHeight="1" s="105">
      <c r="B640" s="50" t="n"/>
      <c r="C640" s="50" t="n"/>
      <c r="D640" s="50" t="n"/>
    </row>
    <row r="641" ht="15.75" customHeight="1" s="105">
      <c r="B641" s="50" t="n"/>
      <c r="C641" s="50" t="n"/>
      <c r="D641" s="50" t="n"/>
    </row>
    <row r="642" ht="15.75" customHeight="1" s="105">
      <c r="B642" s="50" t="n"/>
      <c r="C642" s="50" t="n"/>
      <c r="D642" s="50" t="n"/>
    </row>
    <row r="643" ht="15.75" customHeight="1" s="105">
      <c r="B643" s="50" t="n"/>
      <c r="C643" s="50" t="n"/>
      <c r="D643" s="50" t="n"/>
    </row>
    <row r="644" ht="15.75" customHeight="1" s="105">
      <c r="B644" s="50" t="n"/>
      <c r="C644" s="50" t="n"/>
      <c r="D644" s="50" t="n"/>
    </row>
    <row r="645" ht="15.75" customHeight="1" s="105">
      <c r="B645" s="50" t="n"/>
      <c r="C645" s="50" t="n"/>
      <c r="D645" s="50" t="n"/>
    </row>
    <row r="646" ht="15.75" customHeight="1" s="105">
      <c r="B646" s="50" t="n"/>
      <c r="C646" s="50" t="n"/>
      <c r="D646" s="50" t="n"/>
    </row>
    <row r="647" ht="15.75" customHeight="1" s="105">
      <c r="B647" s="50" t="n"/>
      <c r="C647" s="50" t="n"/>
      <c r="D647" s="50" t="n"/>
    </row>
    <row r="648" ht="15.75" customHeight="1" s="105">
      <c r="B648" s="50" t="n"/>
      <c r="C648" s="50" t="n"/>
      <c r="D648" s="50" t="n"/>
    </row>
    <row r="649" ht="15.75" customHeight="1" s="105">
      <c r="B649" s="50" t="n"/>
      <c r="C649" s="50" t="n"/>
      <c r="D649" s="50" t="n"/>
    </row>
    <row r="650" ht="15.75" customHeight="1" s="105">
      <c r="B650" s="50" t="n"/>
      <c r="C650" s="50" t="n"/>
      <c r="D650" s="50" t="n"/>
    </row>
    <row r="651" ht="15.75" customHeight="1" s="105">
      <c r="B651" s="50" t="n"/>
      <c r="C651" s="50" t="n"/>
      <c r="D651" s="50" t="n"/>
    </row>
    <row r="652" ht="15.75" customHeight="1" s="105">
      <c r="B652" s="50" t="n"/>
      <c r="C652" s="50" t="n"/>
      <c r="D652" s="50" t="n"/>
    </row>
    <row r="653" ht="15.75" customHeight="1" s="105">
      <c r="B653" s="50" t="n"/>
      <c r="C653" s="50" t="n"/>
      <c r="D653" s="50" t="n"/>
    </row>
    <row r="654" ht="15.75" customHeight="1" s="105">
      <c r="B654" s="50" t="n"/>
      <c r="C654" s="50" t="n"/>
      <c r="D654" s="50" t="n"/>
    </row>
    <row r="655" ht="15.75" customHeight="1" s="105">
      <c r="B655" s="50" t="n"/>
      <c r="C655" s="50" t="n"/>
      <c r="D655" s="50" t="n"/>
    </row>
    <row r="656" ht="15.75" customHeight="1" s="105">
      <c r="B656" s="50" t="n"/>
      <c r="C656" s="50" t="n"/>
      <c r="D656" s="50" t="n"/>
    </row>
    <row r="657" ht="15.75" customHeight="1" s="105">
      <c r="B657" s="50" t="n"/>
      <c r="C657" s="50" t="n"/>
      <c r="D657" s="50" t="n"/>
    </row>
    <row r="658" ht="15.75" customHeight="1" s="105">
      <c r="B658" s="50" t="n"/>
      <c r="C658" s="50" t="n"/>
      <c r="D658" s="50" t="n"/>
    </row>
    <row r="659" ht="15.75" customHeight="1" s="105">
      <c r="B659" s="50" t="n"/>
      <c r="C659" s="50" t="n"/>
      <c r="D659" s="50" t="n"/>
    </row>
    <row r="660" ht="15.75" customHeight="1" s="105">
      <c r="B660" s="50" t="n"/>
      <c r="C660" s="50" t="n"/>
      <c r="D660" s="50" t="n"/>
    </row>
    <row r="661" ht="15.75" customHeight="1" s="105">
      <c r="B661" s="50" t="n"/>
      <c r="C661" s="50" t="n"/>
      <c r="D661" s="50" t="n"/>
    </row>
    <row r="662" ht="15.75" customHeight="1" s="105">
      <c r="B662" s="50" t="n"/>
      <c r="C662" s="50" t="n"/>
      <c r="D662" s="50" t="n"/>
    </row>
    <row r="663" ht="15.75" customHeight="1" s="105">
      <c r="B663" s="50" t="n"/>
      <c r="C663" s="50" t="n"/>
      <c r="D663" s="50" t="n"/>
    </row>
    <row r="664" ht="15.75" customHeight="1" s="105">
      <c r="B664" s="50" t="n"/>
      <c r="C664" s="50" t="n"/>
      <c r="D664" s="50" t="n"/>
    </row>
    <row r="665" ht="15.75" customHeight="1" s="105">
      <c r="B665" s="50" t="n"/>
      <c r="C665" s="50" t="n"/>
      <c r="D665" s="50" t="n"/>
    </row>
    <row r="666" ht="15.75" customHeight="1" s="105">
      <c r="B666" s="50" t="n"/>
      <c r="C666" s="50" t="n"/>
      <c r="D666" s="50" t="n"/>
    </row>
    <row r="667" ht="15.75" customHeight="1" s="105">
      <c r="B667" s="50" t="n"/>
      <c r="C667" s="50" t="n"/>
      <c r="D667" s="50" t="n"/>
    </row>
    <row r="668" ht="15.75" customHeight="1" s="105">
      <c r="B668" s="50" t="n"/>
      <c r="C668" s="50" t="n"/>
      <c r="D668" s="50" t="n"/>
    </row>
    <row r="669" ht="15.75" customHeight="1" s="105">
      <c r="B669" s="50" t="n"/>
      <c r="C669" s="50" t="n"/>
      <c r="D669" s="50" t="n"/>
    </row>
    <row r="670" ht="15.75" customHeight="1" s="105">
      <c r="B670" s="50" t="n"/>
      <c r="C670" s="50" t="n"/>
      <c r="D670" s="50" t="n"/>
    </row>
    <row r="671" ht="15.75" customHeight="1" s="105">
      <c r="B671" s="50" t="n"/>
      <c r="C671" s="50" t="n"/>
      <c r="D671" s="50" t="n"/>
    </row>
    <row r="672" ht="15.75" customHeight="1" s="105">
      <c r="B672" s="50" t="n"/>
      <c r="C672" s="50" t="n"/>
      <c r="D672" s="50" t="n"/>
    </row>
    <row r="673" ht="15.75" customHeight="1" s="105">
      <c r="B673" s="50" t="n"/>
      <c r="C673" s="50" t="n"/>
      <c r="D673" s="50" t="n"/>
    </row>
    <row r="674" ht="15.75" customHeight="1" s="105">
      <c r="B674" s="50" t="n"/>
      <c r="C674" s="50" t="n"/>
      <c r="D674" s="50" t="n"/>
    </row>
    <row r="675" ht="15.75" customHeight="1" s="105">
      <c r="B675" s="50" t="n"/>
      <c r="C675" s="50" t="n"/>
      <c r="D675" s="50" t="n"/>
    </row>
    <row r="676" ht="15.75" customHeight="1" s="105">
      <c r="B676" s="50" t="n"/>
      <c r="C676" s="50" t="n"/>
      <c r="D676" s="50" t="n"/>
    </row>
    <row r="677" ht="15.75" customHeight="1" s="105">
      <c r="B677" s="50" t="n"/>
      <c r="C677" s="50" t="n"/>
      <c r="D677" s="50" t="n"/>
    </row>
    <row r="678" ht="15.75" customHeight="1" s="105">
      <c r="B678" s="50" t="n"/>
      <c r="C678" s="50" t="n"/>
      <c r="D678" s="50" t="n"/>
    </row>
    <row r="679" ht="15.75" customHeight="1" s="105">
      <c r="B679" s="50" t="n"/>
      <c r="C679" s="50" t="n"/>
      <c r="D679" s="50" t="n"/>
    </row>
    <row r="680" ht="15.75" customHeight="1" s="105">
      <c r="B680" s="50" t="n"/>
      <c r="C680" s="50" t="n"/>
      <c r="D680" s="50" t="n"/>
    </row>
    <row r="681" ht="15.75" customHeight="1" s="105">
      <c r="B681" s="50" t="n"/>
      <c r="C681" s="50" t="n"/>
      <c r="D681" s="50" t="n"/>
    </row>
    <row r="682" ht="15.75" customHeight="1" s="105">
      <c r="B682" s="50" t="n"/>
      <c r="C682" s="50" t="n"/>
      <c r="D682" s="50" t="n"/>
    </row>
    <row r="683" ht="15.75" customHeight="1" s="105">
      <c r="B683" s="50" t="n"/>
      <c r="C683" s="50" t="n"/>
      <c r="D683" s="50" t="n"/>
    </row>
    <row r="684" ht="15.75" customHeight="1" s="105">
      <c r="B684" s="50" t="n"/>
      <c r="C684" s="50" t="n"/>
      <c r="D684" s="50" t="n"/>
    </row>
    <row r="685" ht="15.75" customHeight="1" s="105">
      <c r="B685" s="50" t="n"/>
      <c r="C685" s="50" t="n"/>
      <c r="D685" s="50" t="n"/>
    </row>
    <row r="686" ht="15.75" customHeight="1" s="105">
      <c r="B686" s="50" t="n"/>
      <c r="C686" s="50" t="n"/>
      <c r="D686" s="50" t="n"/>
    </row>
    <row r="687" ht="15.75" customHeight="1" s="105">
      <c r="B687" s="50" t="n"/>
      <c r="C687" s="50" t="n"/>
      <c r="D687" s="50" t="n"/>
    </row>
    <row r="688" ht="15.75" customHeight="1" s="105">
      <c r="B688" s="50" t="n"/>
      <c r="C688" s="50" t="n"/>
      <c r="D688" s="50" t="n"/>
    </row>
    <row r="689" ht="15.75" customHeight="1" s="105">
      <c r="B689" s="50" t="n"/>
      <c r="C689" s="50" t="n"/>
      <c r="D689" s="50" t="n"/>
    </row>
    <row r="690" ht="15.75" customHeight="1" s="105">
      <c r="B690" s="50" t="n"/>
      <c r="C690" s="50" t="n"/>
      <c r="D690" s="50" t="n"/>
    </row>
    <row r="691" ht="15.75" customHeight="1" s="105">
      <c r="B691" s="50" t="n"/>
      <c r="C691" s="50" t="n"/>
      <c r="D691" s="50" t="n"/>
    </row>
    <row r="692" ht="15.75" customHeight="1" s="105">
      <c r="B692" s="50" t="n"/>
      <c r="C692" s="50" t="n"/>
      <c r="D692" s="50" t="n"/>
    </row>
    <row r="693" ht="15.75" customHeight="1" s="105">
      <c r="B693" s="50" t="n"/>
      <c r="C693" s="50" t="n"/>
      <c r="D693" s="50" t="n"/>
    </row>
    <row r="694" ht="15.75" customHeight="1" s="105">
      <c r="B694" s="50" t="n"/>
      <c r="C694" s="50" t="n"/>
      <c r="D694" s="50" t="n"/>
    </row>
    <row r="695" ht="15.75" customHeight="1" s="105">
      <c r="B695" s="50" t="n"/>
      <c r="C695" s="50" t="n"/>
      <c r="D695" s="50" t="n"/>
    </row>
    <row r="696" ht="15.75" customHeight="1" s="105">
      <c r="B696" s="50" t="n"/>
      <c r="C696" s="50" t="n"/>
      <c r="D696" s="50" t="n"/>
    </row>
    <row r="697" ht="15.75" customHeight="1" s="105">
      <c r="B697" s="50" t="n"/>
      <c r="C697" s="50" t="n"/>
      <c r="D697" s="50" t="n"/>
    </row>
    <row r="698" ht="15.75" customHeight="1" s="105">
      <c r="B698" s="50" t="n"/>
      <c r="C698" s="50" t="n"/>
      <c r="D698" s="50" t="n"/>
    </row>
    <row r="699" ht="15.75" customHeight="1" s="105">
      <c r="B699" s="50" t="n"/>
      <c r="C699" s="50" t="n"/>
      <c r="D699" s="50" t="n"/>
    </row>
    <row r="700" ht="15.75" customHeight="1" s="105">
      <c r="B700" s="50" t="n"/>
      <c r="C700" s="50" t="n"/>
      <c r="D700" s="50" t="n"/>
    </row>
    <row r="701" ht="15.75" customHeight="1" s="105">
      <c r="B701" s="50" t="n"/>
      <c r="C701" s="50" t="n"/>
      <c r="D701" s="50" t="n"/>
    </row>
    <row r="702" ht="15.75" customHeight="1" s="105">
      <c r="B702" s="50" t="n"/>
      <c r="C702" s="50" t="n"/>
      <c r="D702" s="50" t="n"/>
    </row>
    <row r="703" ht="15.75" customHeight="1" s="105">
      <c r="B703" s="50" t="n"/>
      <c r="C703" s="50" t="n"/>
      <c r="D703" s="50" t="n"/>
    </row>
    <row r="704" ht="15.75" customHeight="1" s="105">
      <c r="B704" s="50" t="n"/>
      <c r="C704" s="50" t="n"/>
      <c r="D704" s="50" t="n"/>
    </row>
    <row r="705" ht="15.75" customHeight="1" s="105">
      <c r="B705" s="50" t="n"/>
      <c r="C705" s="50" t="n"/>
      <c r="D705" s="50" t="n"/>
    </row>
    <row r="706" ht="15.75" customHeight="1" s="105">
      <c r="B706" s="50" t="n"/>
      <c r="C706" s="50" t="n"/>
      <c r="D706" s="50" t="n"/>
    </row>
    <row r="707" ht="15.75" customHeight="1" s="105">
      <c r="B707" s="50" t="n"/>
      <c r="C707" s="50" t="n"/>
      <c r="D707" s="50" t="n"/>
    </row>
    <row r="708" ht="15.75" customHeight="1" s="105">
      <c r="B708" s="50" t="n"/>
      <c r="C708" s="50" t="n"/>
      <c r="D708" s="50" t="n"/>
    </row>
    <row r="709" ht="15.75" customHeight="1" s="105">
      <c r="B709" s="50" t="n"/>
      <c r="C709" s="50" t="n"/>
      <c r="D709" s="50" t="n"/>
    </row>
    <row r="710" ht="15.75" customHeight="1" s="105">
      <c r="B710" s="50" t="n"/>
      <c r="C710" s="50" t="n"/>
      <c r="D710" s="50" t="n"/>
    </row>
    <row r="711" ht="15.75" customHeight="1" s="105">
      <c r="B711" s="50" t="n"/>
      <c r="C711" s="50" t="n"/>
      <c r="D711" s="50" t="n"/>
    </row>
    <row r="712" ht="15.75" customHeight="1" s="105">
      <c r="B712" s="50" t="n"/>
      <c r="C712" s="50" t="n"/>
      <c r="D712" s="50" t="n"/>
    </row>
    <row r="713" ht="15.75" customHeight="1" s="105">
      <c r="B713" s="50" t="n"/>
      <c r="C713" s="50" t="n"/>
      <c r="D713" s="50" t="n"/>
    </row>
    <row r="714" ht="15.75" customHeight="1" s="105">
      <c r="B714" s="50" t="n"/>
      <c r="C714" s="50" t="n"/>
      <c r="D714" s="50" t="n"/>
    </row>
    <row r="715" ht="15.75" customHeight="1" s="105">
      <c r="B715" s="50" t="n"/>
      <c r="C715" s="50" t="n"/>
      <c r="D715" s="50" t="n"/>
    </row>
    <row r="716" ht="15.75" customHeight="1" s="105">
      <c r="B716" s="50" t="n"/>
      <c r="C716" s="50" t="n"/>
      <c r="D716" s="50" t="n"/>
    </row>
    <row r="717" ht="15.75" customHeight="1" s="105">
      <c r="B717" s="50" t="n"/>
      <c r="C717" s="50" t="n"/>
      <c r="D717" s="50" t="n"/>
    </row>
    <row r="718" ht="15.75" customHeight="1" s="105">
      <c r="B718" s="50" t="n"/>
      <c r="C718" s="50" t="n"/>
      <c r="D718" s="50" t="n"/>
    </row>
    <row r="719" ht="15.75" customHeight="1" s="105">
      <c r="B719" s="50" t="n"/>
      <c r="C719" s="50" t="n"/>
      <c r="D719" s="50" t="n"/>
    </row>
    <row r="720" ht="15.75" customHeight="1" s="105">
      <c r="B720" s="50" t="n"/>
      <c r="C720" s="50" t="n"/>
      <c r="D720" s="50" t="n"/>
    </row>
    <row r="721" ht="15.75" customHeight="1" s="105">
      <c r="B721" s="50" t="n"/>
      <c r="C721" s="50" t="n"/>
      <c r="D721" s="50" t="n"/>
    </row>
    <row r="722" ht="15.75" customHeight="1" s="105">
      <c r="B722" s="50" t="n"/>
      <c r="C722" s="50" t="n"/>
      <c r="D722" s="50" t="n"/>
    </row>
    <row r="723" ht="15.75" customHeight="1" s="105">
      <c r="B723" s="50" t="n"/>
      <c r="C723" s="50" t="n"/>
      <c r="D723" s="50" t="n"/>
    </row>
    <row r="724" ht="15.75" customHeight="1" s="105">
      <c r="B724" s="50" t="n"/>
      <c r="C724" s="50" t="n"/>
      <c r="D724" s="50" t="n"/>
    </row>
    <row r="725" ht="15.75" customHeight="1" s="105">
      <c r="B725" s="50" t="n"/>
      <c r="C725" s="50" t="n"/>
      <c r="D725" s="50" t="n"/>
    </row>
    <row r="726" ht="15.75" customHeight="1" s="105">
      <c r="B726" s="50" t="n"/>
      <c r="C726" s="50" t="n"/>
      <c r="D726" s="50" t="n"/>
    </row>
    <row r="727" ht="15.75" customHeight="1" s="105">
      <c r="B727" s="50" t="n"/>
      <c r="C727" s="50" t="n"/>
      <c r="D727" s="50" t="n"/>
    </row>
    <row r="728" ht="15.75" customHeight="1" s="105">
      <c r="B728" s="50" t="n"/>
      <c r="C728" s="50" t="n"/>
      <c r="D728" s="50" t="n"/>
    </row>
    <row r="729" ht="15.75" customHeight="1" s="105">
      <c r="B729" s="50" t="n"/>
      <c r="C729" s="50" t="n"/>
      <c r="D729" s="50" t="n"/>
    </row>
    <row r="730" ht="15.75" customHeight="1" s="105">
      <c r="B730" s="50" t="n"/>
      <c r="C730" s="50" t="n"/>
      <c r="D730" s="50" t="n"/>
    </row>
    <row r="731" ht="15.75" customHeight="1" s="105">
      <c r="B731" s="50" t="n"/>
      <c r="C731" s="50" t="n"/>
      <c r="D731" s="50" t="n"/>
    </row>
    <row r="732" ht="15.75" customHeight="1" s="105">
      <c r="B732" s="50" t="n"/>
      <c r="C732" s="50" t="n"/>
      <c r="D732" s="50" t="n"/>
    </row>
    <row r="733" ht="15.75" customHeight="1" s="105">
      <c r="B733" s="50" t="n"/>
      <c r="C733" s="50" t="n"/>
      <c r="D733" s="50" t="n"/>
    </row>
    <row r="734" ht="15.75" customHeight="1" s="105">
      <c r="B734" s="50" t="n"/>
      <c r="C734" s="50" t="n"/>
      <c r="D734" s="50" t="n"/>
    </row>
    <row r="735" ht="15.75" customHeight="1" s="105">
      <c r="B735" s="50" t="n"/>
      <c r="C735" s="50" t="n"/>
      <c r="D735" s="50" t="n"/>
    </row>
    <row r="736" ht="15.75" customHeight="1" s="105">
      <c r="B736" s="50" t="n"/>
      <c r="C736" s="50" t="n"/>
      <c r="D736" s="50" t="n"/>
    </row>
    <row r="737" ht="15.75" customHeight="1" s="105">
      <c r="B737" s="50" t="n"/>
      <c r="C737" s="50" t="n"/>
      <c r="D737" s="50" t="n"/>
    </row>
    <row r="738" ht="15.75" customHeight="1" s="105">
      <c r="B738" s="50" t="n"/>
      <c r="C738" s="50" t="n"/>
      <c r="D738" s="50" t="n"/>
    </row>
    <row r="739" ht="15.75" customHeight="1" s="105">
      <c r="B739" s="50" t="n"/>
      <c r="C739" s="50" t="n"/>
      <c r="D739" s="50" t="n"/>
    </row>
    <row r="740" ht="15.75" customHeight="1" s="105">
      <c r="B740" s="50" t="n"/>
      <c r="C740" s="50" t="n"/>
      <c r="D740" s="50" t="n"/>
    </row>
    <row r="741" ht="15.75" customHeight="1" s="105">
      <c r="B741" s="50" t="n"/>
      <c r="C741" s="50" t="n"/>
      <c r="D741" s="50" t="n"/>
    </row>
    <row r="742" ht="15.75" customHeight="1" s="105">
      <c r="B742" s="50" t="n"/>
      <c r="C742" s="50" t="n"/>
      <c r="D742" s="50" t="n"/>
    </row>
    <row r="743" ht="15.75" customHeight="1" s="105">
      <c r="B743" s="50" t="n"/>
      <c r="C743" s="50" t="n"/>
      <c r="D743" s="50" t="n"/>
    </row>
    <row r="744" ht="15.75" customHeight="1" s="105">
      <c r="B744" s="50" t="n"/>
      <c r="C744" s="50" t="n"/>
      <c r="D744" s="50" t="n"/>
    </row>
    <row r="745" ht="15.75" customHeight="1" s="105">
      <c r="B745" s="50" t="n"/>
      <c r="C745" s="50" t="n"/>
      <c r="D745" s="50" t="n"/>
    </row>
    <row r="746" ht="15.75" customHeight="1" s="105">
      <c r="B746" s="50" t="n"/>
      <c r="C746" s="50" t="n"/>
      <c r="D746" s="50" t="n"/>
    </row>
    <row r="747" ht="15.75" customHeight="1" s="105">
      <c r="B747" s="50" t="n"/>
      <c r="C747" s="50" t="n"/>
      <c r="D747" s="50" t="n"/>
    </row>
    <row r="748" ht="15.75" customHeight="1" s="105">
      <c r="B748" s="50" t="n"/>
      <c r="C748" s="50" t="n"/>
      <c r="D748" s="50" t="n"/>
    </row>
    <row r="749" ht="15.75" customHeight="1" s="105">
      <c r="B749" s="50" t="n"/>
      <c r="C749" s="50" t="n"/>
      <c r="D749" s="50" t="n"/>
    </row>
    <row r="750" ht="15.75" customHeight="1" s="105">
      <c r="B750" s="50" t="n"/>
      <c r="C750" s="50" t="n"/>
      <c r="D750" s="50" t="n"/>
    </row>
    <row r="751" ht="15.75" customHeight="1" s="105">
      <c r="B751" s="50" t="n"/>
      <c r="C751" s="50" t="n"/>
      <c r="D751" s="50" t="n"/>
    </row>
    <row r="752" ht="15.75" customHeight="1" s="105">
      <c r="B752" s="50" t="n"/>
      <c r="C752" s="50" t="n"/>
      <c r="D752" s="50" t="n"/>
    </row>
    <row r="753" ht="15.75" customHeight="1" s="105">
      <c r="B753" s="50" t="n"/>
      <c r="C753" s="50" t="n"/>
      <c r="D753" s="50" t="n"/>
    </row>
    <row r="754" ht="15.75" customHeight="1" s="105">
      <c r="B754" s="50" t="n"/>
      <c r="C754" s="50" t="n"/>
      <c r="D754" s="50" t="n"/>
    </row>
    <row r="755" ht="15.75" customHeight="1" s="105">
      <c r="B755" s="50" t="n"/>
      <c r="C755" s="50" t="n"/>
      <c r="D755" s="50" t="n"/>
    </row>
    <row r="756" ht="15.75" customHeight="1" s="105">
      <c r="B756" s="50" t="n"/>
      <c r="C756" s="50" t="n"/>
      <c r="D756" s="50" t="n"/>
    </row>
    <row r="757" ht="15.75" customHeight="1" s="105">
      <c r="B757" s="50" t="n"/>
      <c r="C757" s="50" t="n"/>
      <c r="D757" s="50" t="n"/>
    </row>
    <row r="758" ht="15.75" customHeight="1" s="105">
      <c r="B758" s="50" t="n"/>
      <c r="C758" s="50" t="n"/>
      <c r="D758" s="50" t="n"/>
    </row>
    <row r="759" ht="15.75" customHeight="1" s="105">
      <c r="B759" s="50" t="n"/>
      <c r="C759" s="50" t="n"/>
      <c r="D759" s="50" t="n"/>
    </row>
    <row r="760" ht="15.75" customHeight="1" s="105">
      <c r="B760" s="50" t="n"/>
      <c r="C760" s="50" t="n"/>
      <c r="D760" s="50" t="n"/>
    </row>
    <row r="761" ht="15.75" customHeight="1" s="105">
      <c r="B761" s="50" t="n"/>
      <c r="C761" s="50" t="n"/>
      <c r="D761" s="50" t="n"/>
    </row>
    <row r="762" ht="15.75" customHeight="1" s="105">
      <c r="B762" s="50" t="n"/>
      <c r="C762" s="50" t="n"/>
      <c r="D762" s="50" t="n"/>
    </row>
    <row r="763" ht="15.75" customHeight="1" s="105">
      <c r="B763" s="50" t="n"/>
      <c r="C763" s="50" t="n"/>
      <c r="D763" s="50" t="n"/>
    </row>
    <row r="764" ht="15.75" customHeight="1" s="105">
      <c r="B764" s="50" t="n"/>
      <c r="C764" s="50" t="n"/>
      <c r="D764" s="50" t="n"/>
    </row>
    <row r="765" ht="15.75" customHeight="1" s="105">
      <c r="B765" s="50" t="n"/>
      <c r="C765" s="50" t="n"/>
      <c r="D765" s="50" t="n"/>
    </row>
    <row r="766" ht="15.75" customHeight="1" s="105">
      <c r="B766" s="50" t="n"/>
      <c r="C766" s="50" t="n"/>
      <c r="D766" s="50" t="n"/>
    </row>
    <row r="767" ht="15.75" customHeight="1" s="105">
      <c r="B767" s="50" t="n"/>
      <c r="C767" s="50" t="n"/>
      <c r="D767" s="50" t="n"/>
    </row>
    <row r="768" ht="15.75" customHeight="1" s="105">
      <c r="B768" s="50" t="n"/>
      <c r="C768" s="50" t="n"/>
      <c r="D768" s="50" t="n"/>
    </row>
    <row r="769" ht="15.75" customHeight="1" s="105">
      <c r="B769" s="50" t="n"/>
      <c r="C769" s="50" t="n"/>
      <c r="D769" s="50" t="n"/>
    </row>
    <row r="770" ht="15.75" customHeight="1" s="105">
      <c r="B770" s="50" t="n"/>
      <c r="C770" s="50" t="n"/>
      <c r="D770" s="50" t="n"/>
    </row>
    <row r="771" ht="15.75" customHeight="1" s="105">
      <c r="B771" s="50" t="n"/>
      <c r="C771" s="50" t="n"/>
      <c r="D771" s="50" t="n"/>
    </row>
    <row r="772" ht="15.75" customHeight="1" s="105">
      <c r="B772" s="50" t="n"/>
      <c r="C772" s="50" t="n"/>
      <c r="D772" s="50" t="n"/>
    </row>
    <row r="773" ht="15.75" customHeight="1" s="105">
      <c r="B773" s="50" t="n"/>
      <c r="C773" s="50" t="n"/>
      <c r="D773" s="50" t="n"/>
    </row>
    <row r="774" ht="15.75" customHeight="1" s="105">
      <c r="B774" s="50" t="n"/>
      <c r="C774" s="50" t="n"/>
      <c r="D774" s="50" t="n"/>
    </row>
    <row r="775" ht="15.75" customHeight="1" s="105">
      <c r="B775" s="50" t="n"/>
      <c r="C775" s="50" t="n"/>
      <c r="D775" s="50" t="n"/>
    </row>
    <row r="776" ht="15.75" customHeight="1" s="105">
      <c r="B776" s="50" t="n"/>
      <c r="C776" s="50" t="n"/>
      <c r="D776" s="50" t="n"/>
    </row>
    <row r="777" ht="15.75" customHeight="1" s="105">
      <c r="B777" s="50" t="n"/>
      <c r="C777" s="50" t="n"/>
      <c r="D777" s="50" t="n"/>
    </row>
    <row r="778" ht="15.75" customHeight="1" s="105">
      <c r="B778" s="50" t="n"/>
      <c r="C778" s="50" t="n"/>
      <c r="D778" s="50" t="n"/>
    </row>
    <row r="779" ht="15.75" customHeight="1" s="105">
      <c r="B779" s="50" t="n"/>
      <c r="C779" s="50" t="n"/>
      <c r="D779" s="50" t="n"/>
    </row>
    <row r="780" ht="15.75" customHeight="1" s="105">
      <c r="B780" s="50" t="n"/>
      <c r="C780" s="50" t="n"/>
      <c r="D780" s="50" t="n"/>
    </row>
    <row r="781" ht="15.75" customHeight="1" s="105">
      <c r="B781" s="50" t="n"/>
      <c r="C781" s="50" t="n"/>
      <c r="D781" s="50" t="n"/>
    </row>
    <row r="782" ht="15.75" customHeight="1" s="105">
      <c r="B782" s="50" t="n"/>
      <c r="C782" s="50" t="n"/>
      <c r="D782" s="50" t="n"/>
    </row>
    <row r="783" ht="15.75" customHeight="1" s="105">
      <c r="B783" s="50" t="n"/>
      <c r="C783" s="50" t="n"/>
      <c r="D783" s="50" t="n"/>
    </row>
    <row r="784" ht="15.75" customHeight="1" s="105">
      <c r="B784" s="50" t="n"/>
      <c r="C784" s="50" t="n"/>
      <c r="D784" s="50" t="n"/>
    </row>
    <row r="785" ht="15.75" customHeight="1" s="105">
      <c r="B785" s="50" t="n"/>
      <c r="C785" s="50" t="n"/>
      <c r="D785" s="50" t="n"/>
    </row>
    <row r="786" ht="15.75" customHeight="1" s="105">
      <c r="B786" s="50" t="n"/>
      <c r="C786" s="50" t="n"/>
      <c r="D786" s="50" t="n"/>
    </row>
    <row r="787" ht="15.75" customHeight="1" s="105">
      <c r="B787" s="50" t="n"/>
      <c r="C787" s="50" t="n"/>
      <c r="D787" s="50" t="n"/>
    </row>
    <row r="788" ht="15.75" customHeight="1" s="105">
      <c r="B788" s="50" t="n"/>
      <c r="C788" s="50" t="n"/>
      <c r="D788" s="50" t="n"/>
    </row>
    <row r="789" ht="15.75" customHeight="1" s="105">
      <c r="B789" s="50" t="n"/>
      <c r="C789" s="50" t="n"/>
      <c r="D789" s="50" t="n"/>
    </row>
    <row r="790" ht="15.75" customHeight="1" s="105">
      <c r="B790" s="50" t="n"/>
      <c r="C790" s="50" t="n"/>
      <c r="D790" s="50" t="n"/>
    </row>
    <row r="791" ht="15.75" customHeight="1" s="105">
      <c r="B791" s="50" t="n"/>
      <c r="C791" s="50" t="n"/>
      <c r="D791" s="50" t="n"/>
    </row>
    <row r="792" ht="15.75" customHeight="1" s="105">
      <c r="B792" s="50" t="n"/>
      <c r="C792" s="50" t="n"/>
      <c r="D792" s="50" t="n"/>
    </row>
    <row r="793" ht="15.75" customHeight="1" s="105">
      <c r="B793" s="50" t="n"/>
      <c r="C793" s="50" t="n"/>
      <c r="D793" s="50" t="n"/>
    </row>
    <row r="794" ht="15.75" customHeight="1" s="105">
      <c r="B794" s="50" t="n"/>
      <c r="C794" s="50" t="n"/>
      <c r="D794" s="50" t="n"/>
    </row>
    <row r="795" ht="15.75" customHeight="1" s="105">
      <c r="B795" s="50" t="n"/>
      <c r="C795" s="50" t="n"/>
      <c r="D795" s="50" t="n"/>
    </row>
    <row r="796" ht="15.75" customHeight="1" s="105">
      <c r="B796" s="50" t="n"/>
      <c r="C796" s="50" t="n"/>
      <c r="D796" s="50" t="n"/>
    </row>
    <row r="797" ht="15.75" customHeight="1" s="105">
      <c r="B797" s="50" t="n"/>
      <c r="C797" s="50" t="n"/>
      <c r="D797" s="50" t="n"/>
    </row>
    <row r="798" ht="15.75" customHeight="1" s="105">
      <c r="B798" s="50" t="n"/>
      <c r="C798" s="50" t="n"/>
      <c r="D798" s="50" t="n"/>
    </row>
    <row r="799" ht="15.75" customHeight="1" s="105">
      <c r="B799" s="50" t="n"/>
      <c r="C799" s="50" t="n"/>
      <c r="D799" s="50" t="n"/>
    </row>
    <row r="800" ht="15.75" customHeight="1" s="105">
      <c r="B800" s="50" t="n"/>
      <c r="C800" s="50" t="n"/>
      <c r="D800" s="50" t="n"/>
    </row>
    <row r="801" ht="15.75" customHeight="1" s="105">
      <c r="B801" s="50" t="n"/>
      <c r="C801" s="50" t="n"/>
      <c r="D801" s="50" t="n"/>
    </row>
    <row r="802" ht="15.75" customHeight="1" s="105">
      <c r="B802" s="50" t="n"/>
      <c r="C802" s="50" t="n"/>
      <c r="D802" s="50" t="n"/>
    </row>
    <row r="803" ht="15.75" customHeight="1" s="105">
      <c r="B803" s="50" t="n"/>
      <c r="C803" s="50" t="n"/>
      <c r="D803" s="50" t="n"/>
    </row>
    <row r="804" ht="15.75" customHeight="1" s="105">
      <c r="B804" s="50" t="n"/>
      <c r="C804" s="50" t="n"/>
      <c r="D804" s="50" t="n"/>
    </row>
    <row r="805" ht="15.75" customHeight="1" s="105">
      <c r="B805" s="50" t="n"/>
      <c r="C805" s="50" t="n"/>
      <c r="D805" s="50" t="n"/>
    </row>
    <row r="806" ht="15.75" customHeight="1" s="105">
      <c r="B806" s="50" t="n"/>
      <c r="C806" s="50" t="n"/>
      <c r="D806" s="50" t="n"/>
    </row>
    <row r="807" ht="15.75" customHeight="1" s="105">
      <c r="B807" s="50" t="n"/>
      <c r="C807" s="50" t="n"/>
      <c r="D807" s="50" t="n"/>
    </row>
    <row r="808" ht="15.75" customHeight="1" s="105">
      <c r="B808" s="50" t="n"/>
      <c r="C808" s="50" t="n"/>
      <c r="D808" s="50" t="n"/>
    </row>
    <row r="809" ht="15.75" customHeight="1" s="105">
      <c r="B809" s="50" t="n"/>
      <c r="C809" s="50" t="n"/>
      <c r="D809" s="50" t="n"/>
    </row>
    <row r="810" ht="15.75" customHeight="1" s="105">
      <c r="B810" s="50" t="n"/>
      <c r="C810" s="50" t="n"/>
      <c r="D810" s="50" t="n"/>
    </row>
    <row r="811" ht="15.75" customHeight="1" s="105">
      <c r="B811" s="50" t="n"/>
      <c r="C811" s="50" t="n"/>
      <c r="D811" s="50" t="n"/>
    </row>
    <row r="812" ht="15.75" customHeight="1" s="105">
      <c r="B812" s="50" t="n"/>
      <c r="C812" s="50" t="n"/>
      <c r="D812" s="50" t="n"/>
    </row>
    <row r="813" ht="15.75" customHeight="1" s="105">
      <c r="B813" s="50" t="n"/>
      <c r="C813" s="50" t="n"/>
      <c r="D813" s="50" t="n"/>
    </row>
    <row r="814" ht="15.75" customHeight="1" s="105">
      <c r="B814" s="50" t="n"/>
      <c r="C814" s="50" t="n"/>
      <c r="D814" s="50" t="n"/>
    </row>
    <row r="815" ht="15.75" customHeight="1" s="105">
      <c r="B815" s="50" t="n"/>
      <c r="C815" s="50" t="n"/>
      <c r="D815" s="50" t="n"/>
    </row>
    <row r="816" ht="15.75" customHeight="1" s="105">
      <c r="B816" s="50" t="n"/>
      <c r="C816" s="50" t="n"/>
      <c r="D816" s="50" t="n"/>
    </row>
    <row r="817" ht="15.75" customHeight="1" s="105">
      <c r="B817" s="50" t="n"/>
      <c r="C817" s="50" t="n"/>
      <c r="D817" s="50" t="n"/>
    </row>
    <row r="818" ht="15.75" customHeight="1" s="105">
      <c r="B818" s="50" t="n"/>
      <c r="C818" s="50" t="n"/>
      <c r="D818" s="50" t="n"/>
    </row>
    <row r="819" ht="15.75" customHeight="1" s="105">
      <c r="B819" s="50" t="n"/>
      <c r="C819" s="50" t="n"/>
      <c r="D819" s="50" t="n"/>
    </row>
    <row r="820" ht="15.75" customHeight="1" s="105">
      <c r="B820" s="50" t="n"/>
      <c r="C820" s="50" t="n"/>
      <c r="D820" s="50" t="n"/>
    </row>
    <row r="821" ht="15.75" customHeight="1" s="105">
      <c r="B821" s="50" t="n"/>
      <c r="C821" s="50" t="n"/>
      <c r="D821" s="50" t="n"/>
    </row>
    <row r="822" ht="15.75" customHeight="1" s="105">
      <c r="B822" s="50" t="n"/>
      <c r="C822" s="50" t="n"/>
      <c r="D822" s="50" t="n"/>
    </row>
    <row r="823" ht="15.75" customHeight="1" s="105">
      <c r="B823" s="50" t="n"/>
      <c r="C823" s="50" t="n"/>
      <c r="D823" s="50" t="n"/>
    </row>
    <row r="824" ht="15.75" customHeight="1" s="105">
      <c r="B824" s="50" t="n"/>
      <c r="C824" s="50" t="n"/>
      <c r="D824" s="50" t="n"/>
    </row>
    <row r="825" ht="15.75" customHeight="1" s="105">
      <c r="B825" s="50" t="n"/>
      <c r="C825" s="50" t="n"/>
      <c r="D825" s="50" t="n"/>
    </row>
    <row r="826" ht="15.75" customHeight="1" s="105">
      <c r="B826" s="50" t="n"/>
      <c r="C826" s="50" t="n"/>
      <c r="D826" s="50" t="n"/>
    </row>
    <row r="827" ht="15.75" customHeight="1" s="105">
      <c r="B827" s="50" t="n"/>
      <c r="C827" s="50" t="n"/>
      <c r="D827" s="50" t="n"/>
    </row>
    <row r="828" ht="15.75" customHeight="1" s="105">
      <c r="B828" s="50" t="n"/>
      <c r="C828" s="50" t="n"/>
      <c r="D828" s="50" t="n"/>
    </row>
    <row r="829" ht="15.75" customHeight="1" s="105">
      <c r="B829" s="50" t="n"/>
      <c r="C829" s="50" t="n"/>
      <c r="D829" s="50" t="n"/>
    </row>
    <row r="830" ht="15.75" customHeight="1" s="105">
      <c r="B830" s="50" t="n"/>
      <c r="C830" s="50" t="n"/>
      <c r="D830" s="50" t="n"/>
    </row>
    <row r="831" ht="15.75" customHeight="1" s="105">
      <c r="B831" s="50" t="n"/>
      <c r="C831" s="50" t="n"/>
      <c r="D831" s="50" t="n"/>
    </row>
    <row r="832" ht="15.75" customHeight="1" s="105">
      <c r="B832" s="50" t="n"/>
      <c r="C832" s="50" t="n"/>
      <c r="D832" s="50" t="n"/>
    </row>
    <row r="833" ht="15.75" customHeight="1" s="105">
      <c r="B833" s="50" t="n"/>
      <c r="C833" s="50" t="n"/>
      <c r="D833" s="50" t="n"/>
    </row>
    <row r="834" ht="15.75" customHeight="1" s="105">
      <c r="B834" s="50" t="n"/>
      <c r="C834" s="50" t="n"/>
      <c r="D834" s="50" t="n"/>
    </row>
    <row r="835" ht="15.75" customHeight="1" s="105">
      <c r="B835" s="50" t="n"/>
      <c r="C835" s="50" t="n"/>
      <c r="D835" s="50" t="n"/>
    </row>
    <row r="836" ht="15.75" customHeight="1" s="105">
      <c r="B836" s="50" t="n"/>
      <c r="C836" s="50" t="n"/>
      <c r="D836" s="50" t="n"/>
    </row>
    <row r="837" ht="15.75" customHeight="1" s="105">
      <c r="B837" s="50" t="n"/>
      <c r="C837" s="50" t="n"/>
      <c r="D837" s="50" t="n"/>
    </row>
    <row r="838" ht="15.75" customHeight="1" s="105">
      <c r="B838" s="50" t="n"/>
      <c r="C838" s="50" t="n"/>
      <c r="D838" s="50" t="n"/>
    </row>
    <row r="839" ht="15.75" customHeight="1" s="105">
      <c r="B839" s="50" t="n"/>
      <c r="C839" s="50" t="n"/>
      <c r="D839" s="50" t="n"/>
    </row>
    <row r="840" ht="15.75" customHeight="1" s="105">
      <c r="B840" s="50" t="n"/>
      <c r="C840" s="50" t="n"/>
      <c r="D840" s="50" t="n"/>
    </row>
    <row r="841" ht="15.75" customHeight="1" s="105">
      <c r="B841" s="50" t="n"/>
      <c r="C841" s="50" t="n"/>
      <c r="D841" s="50" t="n"/>
    </row>
    <row r="842" ht="15.75" customHeight="1" s="105">
      <c r="B842" s="50" t="n"/>
      <c r="C842" s="50" t="n"/>
      <c r="D842" s="50" t="n"/>
    </row>
    <row r="843" ht="15.75" customHeight="1" s="105">
      <c r="B843" s="50" t="n"/>
      <c r="C843" s="50" t="n"/>
      <c r="D843" s="50" t="n"/>
    </row>
    <row r="844" ht="15.75" customHeight="1" s="105">
      <c r="B844" s="50" t="n"/>
      <c r="C844" s="50" t="n"/>
      <c r="D844" s="50" t="n"/>
    </row>
    <row r="845" ht="15.75" customHeight="1" s="105">
      <c r="B845" s="50" t="n"/>
      <c r="C845" s="50" t="n"/>
      <c r="D845" s="50" t="n"/>
    </row>
    <row r="846" ht="15.75" customHeight="1" s="105">
      <c r="B846" s="50" t="n"/>
      <c r="C846" s="50" t="n"/>
      <c r="D846" s="50" t="n"/>
    </row>
    <row r="847" ht="15.75" customHeight="1" s="105">
      <c r="B847" s="50" t="n"/>
      <c r="C847" s="50" t="n"/>
      <c r="D847" s="50" t="n"/>
    </row>
    <row r="848" ht="15.75" customHeight="1" s="105">
      <c r="B848" s="50" t="n"/>
      <c r="C848" s="50" t="n"/>
      <c r="D848" s="50" t="n"/>
    </row>
    <row r="849" ht="15.75" customHeight="1" s="105">
      <c r="B849" s="50" t="n"/>
      <c r="C849" s="50" t="n"/>
      <c r="D849" s="50" t="n"/>
    </row>
    <row r="850" ht="15.75" customHeight="1" s="105">
      <c r="B850" s="50" t="n"/>
      <c r="C850" s="50" t="n"/>
      <c r="D850" s="50" t="n"/>
    </row>
    <row r="851" ht="15.75" customHeight="1" s="105">
      <c r="B851" s="50" t="n"/>
      <c r="C851" s="50" t="n"/>
      <c r="D851" s="50" t="n"/>
    </row>
    <row r="852" ht="15.75" customHeight="1" s="105">
      <c r="B852" s="50" t="n"/>
      <c r="C852" s="50" t="n"/>
      <c r="D852" s="50" t="n"/>
    </row>
    <row r="853" ht="15.75" customHeight="1" s="105">
      <c r="B853" s="50" t="n"/>
      <c r="C853" s="50" t="n"/>
      <c r="D853" s="50" t="n"/>
    </row>
    <row r="854" ht="15.75" customHeight="1" s="105">
      <c r="B854" s="50" t="n"/>
      <c r="C854" s="50" t="n"/>
      <c r="D854" s="50" t="n"/>
    </row>
    <row r="855" ht="15.75" customHeight="1" s="105">
      <c r="B855" s="50" t="n"/>
      <c r="C855" s="50" t="n"/>
      <c r="D855" s="50" t="n"/>
    </row>
    <row r="856" ht="15.75" customHeight="1" s="105">
      <c r="B856" s="50" t="n"/>
      <c r="C856" s="50" t="n"/>
      <c r="D856" s="50" t="n"/>
    </row>
    <row r="857" ht="15.75" customHeight="1" s="105">
      <c r="B857" s="50" t="n"/>
      <c r="C857" s="50" t="n"/>
      <c r="D857" s="50" t="n"/>
    </row>
    <row r="858" ht="15.75" customHeight="1" s="105">
      <c r="B858" s="50" t="n"/>
      <c r="C858" s="50" t="n"/>
      <c r="D858" s="50" t="n"/>
    </row>
    <row r="859" ht="15.75" customHeight="1" s="105">
      <c r="B859" s="50" t="n"/>
      <c r="C859" s="50" t="n"/>
      <c r="D859" s="50" t="n"/>
    </row>
    <row r="860" ht="15.75" customHeight="1" s="105">
      <c r="B860" s="50" t="n"/>
      <c r="C860" s="50" t="n"/>
      <c r="D860" s="50" t="n"/>
    </row>
    <row r="861" ht="15.75" customHeight="1" s="105">
      <c r="B861" s="50" t="n"/>
      <c r="C861" s="50" t="n"/>
      <c r="D861" s="50" t="n"/>
    </row>
    <row r="862" ht="15.75" customHeight="1" s="105">
      <c r="B862" s="50" t="n"/>
      <c r="C862" s="50" t="n"/>
      <c r="D862" s="50" t="n"/>
    </row>
    <row r="863" ht="15.75" customHeight="1" s="105">
      <c r="B863" s="50" t="n"/>
      <c r="C863" s="50" t="n"/>
      <c r="D863" s="50" t="n"/>
    </row>
    <row r="864" ht="15.75" customHeight="1" s="105">
      <c r="B864" s="50" t="n"/>
      <c r="C864" s="50" t="n"/>
      <c r="D864" s="50" t="n"/>
    </row>
    <row r="865" ht="15.75" customHeight="1" s="105">
      <c r="B865" s="50" t="n"/>
      <c r="C865" s="50" t="n"/>
      <c r="D865" s="50" t="n"/>
    </row>
    <row r="866" ht="15.75" customHeight="1" s="105">
      <c r="B866" s="50" t="n"/>
      <c r="C866" s="50" t="n"/>
      <c r="D866" s="50" t="n"/>
    </row>
    <row r="867" ht="15.75" customHeight="1" s="105">
      <c r="B867" s="50" t="n"/>
      <c r="C867" s="50" t="n"/>
      <c r="D867" s="50" t="n"/>
    </row>
    <row r="868" ht="15.75" customHeight="1" s="105">
      <c r="B868" s="50" t="n"/>
      <c r="C868" s="50" t="n"/>
      <c r="D868" s="50" t="n"/>
    </row>
    <row r="869" ht="15.75" customHeight="1" s="105">
      <c r="B869" s="50" t="n"/>
      <c r="C869" s="50" t="n"/>
      <c r="D869" s="50" t="n"/>
    </row>
    <row r="870" ht="15.75" customHeight="1" s="105">
      <c r="B870" s="50" t="n"/>
      <c r="C870" s="50" t="n"/>
      <c r="D870" s="50" t="n"/>
    </row>
    <row r="871" ht="15.75" customHeight="1" s="105">
      <c r="B871" s="50" t="n"/>
      <c r="C871" s="50" t="n"/>
      <c r="D871" s="50" t="n"/>
    </row>
    <row r="872" ht="15.75" customHeight="1" s="105">
      <c r="B872" s="50" t="n"/>
      <c r="C872" s="50" t="n"/>
      <c r="D872" s="50" t="n"/>
    </row>
    <row r="873" ht="15.75" customHeight="1" s="105">
      <c r="B873" s="50" t="n"/>
      <c r="C873" s="50" t="n"/>
      <c r="D873" s="50" t="n"/>
    </row>
    <row r="874" ht="15.75" customHeight="1" s="105">
      <c r="B874" s="50" t="n"/>
      <c r="C874" s="50" t="n"/>
      <c r="D874" s="50" t="n"/>
    </row>
    <row r="875" ht="15.75" customHeight="1" s="105">
      <c r="B875" s="50" t="n"/>
      <c r="C875" s="50" t="n"/>
      <c r="D875" s="50" t="n"/>
    </row>
    <row r="876" ht="15.75" customHeight="1" s="105">
      <c r="B876" s="50" t="n"/>
      <c r="C876" s="50" t="n"/>
      <c r="D876" s="50" t="n"/>
    </row>
    <row r="877" ht="15.75" customHeight="1" s="105">
      <c r="B877" s="50" t="n"/>
      <c r="C877" s="50" t="n"/>
      <c r="D877" s="50" t="n"/>
    </row>
    <row r="878" ht="15.75" customHeight="1" s="105">
      <c r="B878" s="50" t="n"/>
      <c r="C878" s="50" t="n"/>
      <c r="D878" s="50" t="n"/>
    </row>
    <row r="879" ht="15.75" customHeight="1" s="105">
      <c r="B879" s="50" t="n"/>
      <c r="C879" s="50" t="n"/>
      <c r="D879" s="50" t="n"/>
    </row>
    <row r="880" ht="15.75" customHeight="1" s="105">
      <c r="B880" s="50" t="n"/>
      <c r="C880" s="50" t="n"/>
      <c r="D880" s="50" t="n"/>
    </row>
    <row r="881" ht="15.75" customHeight="1" s="105">
      <c r="B881" s="50" t="n"/>
      <c r="C881" s="50" t="n"/>
      <c r="D881" s="50" t="n"/>
    </row>
    <row r="882" ht="15.75" customHeight="1" s="105">
      <c r="B882" s="50" t="n"/>
      <c r="C882" s="50" t="n"/>
      <c r="D882" s="50" t="n"/>
    </row>
    <row r="883" ht="15.75" customHeight="1" s="105">
      <c r="B883" s="50" t="n"/>
      <c r="C883" s="50" t="n"/>
      <c r="D883" s="50" t="n"/>
    </row>
    <row r="884" ht="15.75" customHeight="1" s="105">
      <c r="B884" s="50" t="n"/>
      <c r="C884" s="50" t="n"/>
      <c r="D884" s="50" t="n"/>
    </row>
    <row r="885" ht="15.75" customHeight="1" s="105">
      <c r="B885" s="50" t="n"/>
      <c r="C885" s="50" t="n"/>
      <c r="D885" s="50" t="n"/>
    </row>
    <row r="886" ht="15.75" customHeight="1" s="105">
      <c r="B886" s="50" t="n"/>
      <c r="C886" s="50" t="n"/>
      <c r="D886" s="50" t="n"/>
    </row>
    <row r="887" ht="15.75" customHeight="1" s="105">
      <c r="B887" s="50" t="n"/>
      <c r="C887" s="50" t="n"/>
      <c r="D887" s="50" t="n"/>
    </row>
    <row r="888" ht="15.75" customHeight="1" s="105">
      <c r="B888" s="50" t="n"/>
      <c r="C888" s="50" t="n"/>
      <c r="D888" s="50" t="n"/>
    </row>
    <row r="889" ht="15.75" customHeight="1" s="105">
      <c r="B889" s="50" t="n"/>
      <c r="C889" s="50" t="n"/>
      <c r="D889" s="50" t="n"/>
    </row>
    <row r="890" ht="15.75" customHeight="1" s="105">
      <c r="B890" s="50" t="n"/>
      <c r="C890" s="50" t="n"/>
      <c r="D890" s="50" t="n"/>
    </row>
    <row r="891" ht="15.75" customHeight="1" s="105">
      <c r="B891" s="50" t="n"/>
      <c r="C891" s="50" t="n"/>
      <c r="D891" s="50" t="n"/>
    </row>
    <row r="892" ht="15.75" customHeight="1" s="105">
      <c r="B892" s="50" t="n"/>
      <c r="C892" s="50" t="n"/>
      <c r="D892" s="50" t="n"/>
    </row>
    <row r="893" ht="15.75" customHeight="1" s="105">
      <c r="B893" s="50" t="n"/>
      <c r="C893" s="50" t="n"/>
      <c r="D893" s="50" t="n"/>
    </row>
    <row r="894" ht="15.75" customHeight="1" s="105">
      <c r="B894" s="50" t="n"/>
      <c r="C894" s="50" t="n"/>
      <c r="D894" s="50" t="n"/>
    </row>
    <row r="895" ht="15.75" customHeight="1" s="105">
      <c r="B895" s="50" t="n"/>
      <c r="C895" s="50" t="n"/>
      <c r="D895" s="50" t="n"/>
    </row>
    <row r="896" ht="15.75" customHeight="1" s="105">
      <c r="B896" s="50" t="n"/>
      <c r="C896" s="50" t="n"/>
      <c r="D896" s="50" t="n"/>
    </row>
    <row r="897" ht="15.75" customHeight="1" s="105">
      <c r="B897" s="50" t="n"/>
      <c r="C897" s="50" t="n"/>
      <c r="D897" s="50" t="n"/>
    </row>
    <row r="898" ht="15.75" customHeight="1" s="105">
      <c r="B898" s="50" t="n"/>
      <c r="C898" s="50" t="n"/>
      <c r="D898" s="50" t="n"/>
    </row>
    <row r="899" ht="15.75" customHeight="1" s="105">
      <c r="B899" s="50" t="n"/>
      <c r="C899" s="50" t="n"/>
      <c r="D899" s="50" t="n"/>
    </row>
    <row r="900" ht="15.75" customHeight="1" s="105">
      <c r="B900" s="50" t="n"/>
      <c r="C900" s="50" t="n"/>
      <c r="D900" s="50" t="n"/>
    </row>
    <row r="901" ht="15.75" customHeight="1" s="105">
      <c r="B901" s="50" t="n"/>
      <c r="C901" s="50" t="n"/>
      <c r="D901" s="50" t="n"/>
    </row>
    <row r="902" ht="15.75" customHeight="1" s="105">
      <c r="B902" s="50" t="n"/>
      <c r="C902" s="50" t="n"/>
      <c r="D902" s="50" t="n"/>
    </row>
    <row r="903" ht="15.75" customHeight="1" s="105">
      <c r="B903" s="50" t="n"/>
      <c r="C903" s="50" t="n"/>
      <c r="D903" s="50" t="n"/>
    </row>
    <row r="904" ht="15.75" customHeight="1" s="105">
      <c r="B904" s="50" t="n"/>
      <c r="C904" s="50" t="n"/>
      <c r="D904" s="50" t="n"/>
    </row>
    <row r="905" ht="15.75" customHeight="1" s="105">
      <c r="B905" s="50" t="n"/>
      <c r="C905" s="50" t="n"/>
      <c r="D905" s="50" t="n"/>
    </row>
    <row r="906" ht="15.75" customHeight="1" s="105">
      <c r="B906" s="50" t="n"/>
      <c r="C906" s="50" t="n"/>
      <c r="D906" s="50" t="n"/>
    </row>
    <row r="907" ht="15.75" customHeight="1" s="105">
      <c r="B907" s="50" t="n"/>
      <c r="C907" s="50" t="n"/>
      <c r="D907" s="50" t="n"/>
    </row>
    <row r="908" ht="15.75" customHeight="1" s="105">
      <c r="B908" s="50" t="n"/>
      <c r="C908" s="50" t="n"/>
      <c r="D908" s="50" t="n"/>
    </row>
    <row r="909" ht="15.75" customHeight="1" s="105">
      <c r="B909" s="50" t="n"/>
      <c r="C909" s="50" t="n"/>
      <c r="D909" s="50" t="n"/>
    </row>
    <row r="910" ht="15.75" customHeight="1" s="105">
      <c r="B910" s="50" t="n"/>
      <c r="C910" s="50" t="n"/>
      <c r="D910" s="50" t="n"/>
    </row>
    <row r="911" ht="15.75" customHeight="1" s="105">
      <c r="B911" s="50" t="n"/>
      <c r="C911" s="50" t="n"/>
      <c r="D911" s="50" t="n"/>
    </row>
    <row r="912" ht="15.75" customHeight="1" s="105">
      <c r="B912" s="50" t="n"/>
      <c r="C912" s="50" t="n"/>
      <c r="D912" s="50" t="n"/>
    </row>
    <row r="913" ht="15.75" customHeight="1" s="105">
      <c r="B913" s="50" t="n"/>
      <c r="C913" s="50" t="n"/>
      <c r="D913" s="50" t="n"/>
    </row>
    <row r="914" ht="15.75" customHeight="1" s="105">
      <c r="B914" s="50" t="n"/>
      <c r="C914" s="50" t="n"/>
      <c r="D914" s="50" t="n"/>
    </row>
    <row r="915" ht="15.75" customHeight="1" s="105">
      <c r="B915" s="50" t="n"/>
      <c r="C915" s="50" t="n"/>
      <c r="D915" s="50" t="n"/>
    </row>
    <row r="916" ht="15.75" customHeight="1" s="105">
      <c r="B916" s="50" t="n"/>
      <c r="C916" s="50" t="n"/>
      <c r="D916" s="50" t="n"/>
    </row>
    <row r="917" ht="15.75" customHeight="1" s="105">
      <c r="B917" s="50" t="n"/>
      <c r="C917" s="50" t="n"/>
      <c r="D917" s="50" t="n"/>
    </row>
    <row r="918" ht="15.75" customHeight="1" s="105">
      <c r="B918" s="50" t="n"/>
      <c r="C918" s="50" t="n"/>
      <c r="D918" s="50" t="n"/>
    </row>
    <row r="919" ht="15.75" customHeight="1" s="105">
      <c r="B919" s="50" t="n"/>
      <c r="C919" s="50" t="n"/>
      <c r="D919" s="50" t="n"/>
    </row>
    <row r="920" ht="15.75" customHeight="1" s="105">
      <c r="B920" s="50" t="n"/>
      <c r="C920" s="50" t="n"/>
      <c r="D920" s="50" t="n"/>
    </row>
    <row r="921" ht="15.75" customHeight="1" s="105">
      <c r="B921" s="50" t="n"/>
      <c r="C921" s="50" t="n"/>
      <c r="D921" s="50" t="n"/>
    </row>
    <row r="922" ht="15.75" customHeight="1" s="105">
      <c r="B922" s="50" t="n"/>
      <c r="C922" s="50" t="n"/>
      <c r="D922" s="50" t="n"/>
    </row>
    <row r="923" ht="15.75" customHeight="1" s="105">
      <c r="B923" s="50" t="n"/>
      <c r="C923" s="50" t="n"/>
      <c r="D923" s="50" t="n"/>
    </row>
    <row r="924" ht="15.75" customHeight="1" s="105">
      <c r="B924" s="50" t="n"/>
      <c r="C924" s="50" t="n"/>
      <c r="D924" s="50" t="n"/>
    </row>
    <row r="925" ht="15.75" customHeight="1" s="105">
      <c r="B925" s="50" t="n"/>
      <c r="C925" s="50" t="n"/>
      <c r="D925" s="50" t="n"/>
    </row>
    <row r="926" ht="15.75" customHeight="1" s="105">
      <c r="B926" s="50" t="n"/>
      <c r="C926" s="50" t="n"/>
      <c r="D926" s="50" t="n"/>
    </row>
    <row r="927" ht="15.75" customHeight="1" s="105">
      <c r="B927" s="50" t="n"/>
      <c r="C927" s="50" t="n"/>
      <c r="D927" s="50" t="n"/>
    </row>
    <row r="928" ht="15.75" customHeight="1" s="105">
      <c r="B928" s="50" t="n"/>
      <c r="C928" s="50" t="n"/>
      <c r="D928" s="50" t="n"/>
    </row>
    <row r="929" ht="15.75" customHeight="1" s="105">
      <c r="B929" s="50" t="n"/>
      <c r="C929" s="50" t="n"/>
      <c r="D929" s="50" t="n"/>
    </row>
    <row r="930" ht="15.75" customHeight="1" s="105">
      <c r="B930" s="50" t="n"/>
      <c r="C930" s="50" t="n"/>
      <c r="D930" s="50" t="n"/>
    </row>
    <row r="931" ht="15.75" customHeight="1" s="105">
      <c r="B931" s="50" t="n"/>
      <c r="C931" s="50" t="n"/>
      <c r="D931" s="50" t="n"/>
    </row>
    <row r="932" ht="15.75" customHeight="1" s="105">
      <c r="B932" s="50" t="n"/>
      <c r="C932" s="50" t="n"/>
      <c r="D932" s="50" t="n"/>
    </row>
    <row r="933" ht="15.75" customHeight="1" s="105">
      <c r="B933" s="50" t="n"/>
      <c r="C933" s="50" t="n"/>
      <c r="D933" s="50" t="n"/>
    </row>
    <row r="934" ht="15.75" customHeight="1" s="105">
      <c r="B934" s="50" t="n"/>
      <c r="C934" s="50" t="n"/>
      <c r="D934" s="50" t="n"/>
    </row>
    <row r="935" ht="15.75" customHeight="1" s="105">
      <c r="B935" s="50" t="n"/>
      <c r="C935" s="50" t="n"/>
      <c r="D935" s="50" t="n"/>
    </row>
    <row r="936" ht="15.75" customHeight="1" s="105">
      <c r="B936" s="50" t="n"/>
      <c r="C936" s="50" t="n"/>
      <c r="D936" s="50" t="n"/>
    </row>
    <row r="937" ht="15.75" customHeight="1" s="105">
      <c r="B937" s="50" t="n"/>
      <c r="C937" s="50" t="n"/>
      <c r="D937" s="50" t="n"/>
    </row>
    <row r="938" ht="15.75" customHeight="1" s="105">
      <c r="B938" s="50" t="n"/>
      <c r="C938" s="50" t="n"/>
      <c r="D938" s="50" t="n"/>
    </row>
    <row r="939" ht="15.75" customHeight="1" s="105">
      <c r="B939" s="50" t="n"/>
      <c r="C939" s="50" t="n"/>
      <c r="D939" s="50" t="n"/>
    </row>
    <row r="940" ht="15.75" customHeight="1" s="105">
      <c r="B940" s="50" t="n"/>
      <c r="C940" s="50" t="n"/>
      <c r="D940" s="50" t="n"/>
    </row>
    <row r="941" ht="15.75" customHeight="1" s="105">
      <c r="B941" s="50" t="n"/>
      <c r="C941" s="50" t="n"/>
      <c r="D941" s="50" t="n"/>
    </row>
    <row r="942" ht="15.75" customHeight="1" s="105">
      <c r="B942" s="50" t="n"/>
      <c r="C942" s="50" t="n"/>
      <c r="D942" s="50" t="n"/>
    </row>
    <row r="943" ht="15.75" customHeight="1" s="105">
      <c r="B943" s="50" t="n"/>
      <c r="C943" s="50" t="n"/>
      <c r="D943" s="50" t="n"/>
    </row>
    <row r="944" ht="15.75" customHeight="1" s="105">
      <c r="B944" s="50" t="n"/>
      <c r="C944" s="50" t="n"/>
      <c r="D944" s="50" t="n"/>
    </row>
    <row r="945" ht="15.75" customHeight="1" s="105">
      <c r="B945" s="50" t="n"/>
      <c r="C945" s="50" t="n"/>
      <c r="D945" s="50" t="n"/>
    </row>
    <row r="946" ht="15.75" customHeight="1" s="105">
      <c r="B946" s="50" t="n"/>
      <c r="C946" s="50" t="n"/>
      <c r="D946" s="50" t="n"/>
    </row>
    <row r="947" ht="15.75" customHeight="1" s="105">
      <c r="B947" s="50" t="n"/>
      <c r="C947" s="50" t="n"/>
      <c r="D947" s="50" t="n"/>
    </row>
    <row r="948" ht="15.75" customHeight="1" s="105">
      <c r="B948" s="50" t="n"/>
      <c r="C948" s="50" t="n"/>
      <c r="D948" s="50" t="n"/>
    </row>
    <row r="949" ht="15.75" customHeight="1" s="105">
      <c r="B949" s="50" t="n"/>
      <c r="C949" s="50" t="n"/>
      <c r="D949" s="50" t="n"/>
    </row>
    <row r="950" ht="15.75" customHeight="1" s="105">
      <c r="B950" s="50" t="n"/>
      <c r="C950" s="50" t="n"/>
      <c r="D950" s="50" t="n"/>
    </row>
    <row r="951" ht="15.75" customHeight="1" s="105">
      <c r="B951" s="50" t="n"/>
      <c r="C951" s="50" t="n"/>
      <c r="D951" s="50" t="n"/>
    </row>
    <row r="952" ht="15.75" customHeight="1" s="105">
      <c r="B952" s="50" t="n"/>
      <c r="C952" s="50" t="n"/>
      <c r="D952" s="50" t="n"/>
    </row>
    <row r="953" ht="15.75" customHeight="1" s="105">
      <c r="B953" s="50" t="n"/>
      <c r="C953" s="50" t="n"/>
      <c r="D953" s="50" t="n"/>
    </row>
    <row r="954" ht="15.75" customHeight="1" s="105">
      <c r="B954" s="50" t="n"/>
      <c r="C954" s="50" t="n"/>
      <c r="D954" s="50" t="n"/>
    </row>
    <row r="955" ht="15.75" customHeight="1" s="105">
      <c r="B955" s="50" t="n"/>
      <c r="C955" s="50" t="n"/>
      <c r="D955" s="50" t="n"/>
    </row>
    <row r="956" ht="15.75" customHeight="1" s="105">
      <c r="B956" s="50" t="n"/>
      <c r="C956" s="50" t="n"/>
      <c r="D956" s="50" t="n"/>
    </row>
    <row r="957" ht="15.75" customHeight="1" s="105">
      <c r="B957" s="50" t="n"/>
      <c r="C957" s="50" t="n"/>
      <c r="D957" s="50" t="n"/>
    </row>
    <row r="958" ht="15.75" customHeight="1" s="105">
      <c r="B958" s="50" t="n"/>
      <c r="C958" s="50" t="n"/>
      <c r="D958" s="50" t="n"/>
    </row>
    <row r="959" ht="15.75" customHeight="1" s="105">
      <c r="B959" s="50" t="n"/>
      <c r="C959" s="50" t="n"/>
      <c r="D959" s="50" t="n"/>
    </row>
    <row r="960" ht="15.75" customHeight="1" s="105">
      <c r="B960" s="50" t="n"/>
      <c r="C960" s="50" t="n"/>
      <c r="D960" s="50" t="n"/>
    </row>
    <row r="961" ht="15.75" customHeight="1" s="105">
      <c r="B961" s="50" t="n"/>
      <c r="C961" s="50" t="n"/>
      <c r="D961" s="50" t="n"/>
    </row>
    <row r="962" ht="15.75" customHeight="1" s="105">
      <c r="B962" s="50" t="n"/>
      <c r="C962" s="50" t="n"/>
      <c r="D962" s="50" t="n"/>
    </row>
    <row r="963" ht="15.75" customHeight="1" s="105">
      <c r="B963" s="50" t="n"/>
      <c r="C963" s="50" t="n"/>
      <c r="D963" s="50" t="n"/>
    </row>
    <row r="964" ht="15.75" customHeight="1" s="105">
      <c r="B964" s="50" t="n"/>
      <c r="C964" s="50" t="n"/>
      <c r="D964" s="50" t="n"/>
    </row>
    <row r="965" ht="15.75" customHeight="1" s="105">
      <c r="B965" s="50" t="n"/>
      <c r="C965" s="50" t="n"/>
      <c r="D965" s="50" t="n"/>
    </row>
    <row r="966" ht="15.75" customHeight="1" s="105">
      <c r="B966" s="50" t="n"/>
      <c r="C966" s="50" t="n"/>
      <c r="D966" s="50" t="n"/>
    </row>
    <row r="967" ht="15.75" customHeight="1" s="105">
      <c r="B967" s="50" t="n"/>
      <c r="C967" s="50" t="n"/>
      <c r="D967" s="50" t="n"/>
    </row>
    <row r="968" ht="15.75" customHeight="1" s="105">
      <c r="B968" s="50" t="n"/>
      <c r="C968" s="50" t="n"/>
      <c r="D968" s="50" t="n"/>
    </row>
    <row r="969" ht="15.75" customHeight="1" s="105">
      <c r="B969" s="50" t="n"/>
      <c r="C969" s="50" t="n"/>
      <c r="D969" s="50" t="n"/>
    </row>
    <row r="970" ht="15.75" customHeight="1" s="105">
      <c r="B970" s="50" t="n"/>
      <c r="C970" s="50" t="n"/>
      <c r="D970" s="50" t="n"/>
    </row>
    <row r="971" ht="15.75" customHeight="1" s="105">
      <c r="B971" s="50" t="n"/>
      <c r="C971" s="50" t="n"/>
      <c r="D971" s="50" t="n"/>
    </row>
    <row r="972" ht="15.75" customHeight="1" s="105">
      <c r="B972" s="50" t="n"/>
      <c r="C972" s="50" t="n"/>
      <c r="D972" s="50" t="n"/>
    </row>
    <row r="973" ht="15.75" customHeight="1" s="105">
      <c r="B973" s="50" t="n"/>
      <c r="C973" s="50" t="n"/>
      <c r="D973" s="50" t="n"/>
    </row>
    <row r="974" ht="15.75" customHeight="1" s="105">
      <c r="B974" s="50" t="n"/>
      <c r="C974" s="50" t="n"/>
      <c r="D974" s="50" t="n"/>
    </row>
    <row r="975" ht="15.75" customHeight="1" s="105">
      <c r="B975" s="50" t="n"/>
      <c r="C975" s="50" t="n"/>
      <c r="D975" s="50" t="n"/>
    </row>
    <row r="976" ht="15.75" customHeight="1" s="105">
      <c r="B976" s="50" t="n"/>
      <c r="C976" s="50" t="n"/>
      <c r="D976" s="50" t="n"/>
    </row>
    <row r="977" ht="15.75" customHeight="1" s="105">
      <c r="B977" s="50" t="n"/>
      <c r="C977" s="50" t="n"/>
      <c r="D977" s="50" t="n"/>
    </row>
    <row r="978" ht="15.75" customHeight="1" s="105">
      <c r="B978" s="50" t="n"/>
      <c r="C978" s="50" t="n"/>
      <c r="D978" s="50" t="n"/>
    </row>
    <row r="979" ht="15.75" customHeight="1" s="105">
      <c r="B979" s="50" t="n"/>
      <c r="C979" s="50" t="n"/>
      <c r="D979" s="50" t="n"/>
    </row>
    <row r="980" ht="15.75" customHeight="1" s="105">
      <c r="B980" s="50" t="n"/>
      <c r="C980" s="50" t="n"/>
      <c r="D980" s="50" t="n"/>
    </row>
    <row r="981" ht="15.75" customHeight="1" s="105">
      <c r="B981" s="50" t="n"/>
      <c r="C981" s="50" t="n"/>
      <c r="D981" s="50" t="n"/>
    </row>
    <row r="982" ht="15.75" customHeight="1" s="105">
      <c r="B982" s="50" t="n"/>
      <c r="C982" s="50" t="n"/>
      <c r="D982" s="50" t="n"/>
    </row>
    <row r="983" ht="15.75" customHeight="1" s="105">
      <c r="B983" s="50" t="n"/>
      <c r="C983" s="50" t="n"/>
      <c r="D983" s="50" t="n"/>
    </row>
    <row r="984" ht="15.75" customHeight="1" s="105">
      <c r="B984" s="50" t="n"/>
      <c r="C984" s="50" t="n"/>
      <c r="D984" s="50" t="n"/>
    </row>
    <row r="985" ht="15.75" customHeight="1" s="105">
      <c r="B985" s="50" t="n"/>
      <c r="C985" s="50" t="n"/>
      <c r="D985" s="50" t="n"/>
    </row>
    <row r="986" ht="15.75" customHeight="1" s="105">
      <c r="B986" s="50" t="n"/>
      <c r="C986" s="50" t="n"/>
      <c r="D986" s="50" t="n"/>
    </row>
    <row r="987" ht="15.75" customHeight="1" s="105">
      <c r="B987" s="50" t="n"/>
      <c r="C987" s="50" t="n"/>
      <c r="D987" s="50" t="n"/>
    </row>
    <row r="988" ht="15.75" customHeight="1" s="105">
      <c r="B988" s="50" t="n"/>
      <c r="C988" s="50" t="n"/>
      <c r="D988" s="50" t="n"/>
    </row>
    <row r="989" ht="15.75" customHeight="1" s="105">
      <c r="B989" s="50" t="n"/>
      <c r="C989" s="50" t="n"/>
      <c r="D989" s="50" t="n"/>
    </row>
    <row r="990" ht="15.75" customHeight="1" s="105">
      <c r="B990" s="50" t="n"/>
      <c r="C990" s="50" t="n"/>
      <c r="D990" s="50" t="n"/>
    </row>
    <row r="991" ht="15.75" customHeight="1" s="105">
      <c r="B991" s="50" t="n"/>
      <c r="C991" s="50" t="n"/>
      <c r="D991" s="50" t="n"/>
    </row>
    <row r="992" ht="15.75" customHeight="1" s="105">
      <c r="B992" s="50" t="n"/>
      <c r="C992" s="50" t="n"/>
      <c r="D992" s="50" t="n"/>
    </row>
    <row r="993" ht="15.75" customHeight="1" s="105">
      <c r="B993" s="50" t="n"/>
      <c r="C993" s="50" t="n"/>
      <c r="D993" s="50" t="n"/>
    </row>
    <row r="994" ht="15.75" customHeight="1" s="105">
      <c r="B994" s="50" t="n"/>
      <c r="C994" s="50" t="n"/>
      <c r="D994" s="50" t="n"/>
    </row>
    <row r="995" ht="15.75" customHeight="1" s="105">
      <c r="B995" s="50" t="n"/>
      <c r="C995" s="50" t="n"/>
      <c r="D995" s="50" t="n"/>
    </row>
    <row r="996" ht="15.75" customHeight="1" s="105">
      <c r="B996" s="50" t="n"/>
      <c r="C996" s="50" t="n"/>
      <c r="D996" s="50" t="n"/>
    </row>
    <row r="997" ht="15.75" customHeight="1" s="105">
      <c r="B997" s="50" t="n"/>
      <c r="C997" s="50" t="n"/>
      <c r="D997" s="50" t="n"/>
    </row>
    <row r="998" ht="15.75" customHeight="1" s="105">
      <c r="B998" s="50" t="n"/>
      <c r="C998" s="50" t="n"/>
      <c r="D998" s="50" t="n"/>
    </row>
    <row r="999" ht="15.75" customHeight="1" s="105">
      <c r="B999" s="50" t="n"/>
      <c r="C999" s="50" t="n"/>
      <c r="D999" s="50" t="n"/>
    </row>
    <row r="1000" ht="15.75" customHeight="1" s="105">
      <c r="B1000" s="50" t="n"/>
      <c r="C1000" s="50" t="n"/>
      <c r="D1000" s="50" t="n"/>
    </row>
  </sheetData>
  <mergeCells count="7">
    <mergeCell ref="A1:AG1"/>
    <mergeCell ref="Q2:V2"/>
    <mergeCell ref="AA2:AC2"/>
    <mergeCell ref="I2:N2"/>
    <mergeCell ref="A2:H2"/>
    <mergeCell ref="W2:Z2"/>
    <mergeCell ref="AD2:AG2"/>
  </mergeCells>
  <conditionalFormatting sqref="AA5:AA204">
    <cfRule type="colorScale" priority="1">
      <colorScale>
        <cfvo type="formula" val="0"/>
        <cfvo type="formula" val="50"/>
        <cfvo type="formula" val="100"/>
        <color rgb="FFEF4444"/>
        <color rgb="FFF59E0B"/>
        <color rgb="FF21E68A"/>
      </colorScale>
    </cfRule>
  </conditionalFormatting>
  <conditionalFormatting sqref="V5:V204">
    <cfRule type="colorScale" priority="2">
      <colorScale>
        <cfvo type="formula" val="0"/>
        <cfvo type="formula" val="50"/>
        <cfvo type="formula" val="100"/>
        <color rgb="FF3B82F6"/>
        <color rgb="FFF59E0B"/>
        <color rgb="FFEF4444"/>
      </colorScale>
    </cfRule>
  </conditionalFormatting>
  <conditionalFormatting sqref="AF5:AF204">
    <cfRule type="cellIs" priority="3" operator="lessThan" dxfId="0">
      <formula>1</formula>
    </cfRule>
    <cfRule type="cellIs" priority="4" operator="between" dxfId="1">
      <formula>0</formula>
      <formula>3</formula>
    </cfRule>
  </conditionalFormatting>
  <conditionalFormatting sqref="A5:AG204">
    <cfRule type="expression" priority="5" dxfId="2">
      <formula>$AA5&gt;=80</formula>
    </cfRule>
  </conditionalFormatting>
  <dataValidations count="8">
    <dataValidation sqref="I5:I204" showDropDown="0" showInputMessage="0" showErrorMessage="0" allowBlank="1" type="list">
      <formula1>"Not Called,Answered,No Answer,Left Voicemail,Bad Number,Call Back,Booked Meeting,Not Interested"</formula1>
    </dataValidation>
    <dataValidation sqref="L5:L204" showDropDown="0" showInputMessage="0" showErrorMessage="0" allowBlank="1" type="list">
      <formula1>"Interested,Open But Busy,Neutral,Not Interested,Hostile"</formula1>
    </dataValidation>
    <dataValidation sqref="K5:K204" showDropDown="0" showInputMessage="0" showErrorMessage="0" allowBlank="1" type="list">
      <formula1>"Yes,No,Unsure"</formula1>
    </dataValidation>
    <dataValidation sqref="X5:X204" showDropDown="0" showInputMessage="0" showErrorMessage="0" allowBlank="1" type="list">
      <formula1>"Zoom,In Person,Phone,None Yet"</formula1>
    </dataValidation>
    <dataValidation sqref="Z5:Z204" showDropDown="0" showInputMessage="0" showErrorMessage="0" allowBlank="1" type="list">
      <formula1>"Send Text,Send Email,Call Back,Book Zoom,Book In Person,Disqualified,Nurture Later"</formula1>
    </dataValidation>
    <dataValidation sqref="Q5:T204" showDropDown="0" showInputMessage="0" showErrorMessage="0" allowBlank="1" type="list">
      <formula1>"Severe,Moderate,Minor,None"</formula1>
    </dataValidation>
    <dataValidation sqref="W5:W204" showDropDown="0" showInputMessage="0" showErrorMessage="0" allowBlank="1" type="list">
      <formula1>"Yes,No,Later"</formula1>
    </dataValidation>
    <dataValidation sqref="M5:M204" showDropDown="0" showInputMessage="0" showErrorMessage="0" allowBlank="1" type="list">
      <formula1>"Recruiting,Retention,Operations/System,Revenue/Cash Flow,Lead Flow,Scheduling,Training,No Clear Pain Point"</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F7" r:id="rId4"/>
    <hyperlink xmlns:r="http://schemas.openxmlformats.org/officeDocument/2006/relationships" ref="D8"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F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O28" r:id="rId26"/>
    <hyperlink xmlns:r="http://schemas.openxmlformats.org/officeDocument/2006/relationships" ref="P28" r:id="rId27"/>
    <hyperlink xmlns:r="http://schemas.openxmlformats.org/officeDocument/2006/relationships" ref="D29" r:id="rId28"/>
    <hyperlink xmlns:r="http://schemas.openxmlformats.org/officeDocument/2006/relationships" ref="D30" r:id="rId29"/>
    <hyperlink xmlns:r="http://schemas.openxmlformats.org/officeDocument/2006/relationships" ref="O30" r:id="rId30"/>
    <hyperlink xmlns:r="http://schemas.openxmlformats.org/officeDocument/2006/relationships" ref="P30" r:id="rId31"/>
    <hyperlink xmlns:r="http://schemas.openxmlformats.org/officeDocument/2006/relationships" ref="D31" r:id="rId32"/>
    <hyperlink xmlns:r="http://schemas.openxmlformats.org/officeDocument/2006/relationships" ref="O31" r:id="rId33"/>
    <hyperlink xmlns:r="http://schemas.openxmlformats.org/officeDocument/2006/relationships" ref="P31" r:id="rId34"/>
    <hyperlink xmlns:r="http://schemas.openxmlformats.org/officeDocument/2006/relationships" ref="D32" r:id="rId35"/>
    <hyperlink xmlns:r="http://schemas.openxmlformats.org/officeDocument/2006/relationships" ref="O32" r:id="rId36"/>
    <hyperlink xmlns:r="http://schemas.openxmlformats.org/officeDocument/2006/relationships" ref="P32" r:id="rId37"/>
    <hyperlink xmlns:r="http://schemas.openxmlformats.org/officeDocument/2006/relationships" ref="D33" r:id="rId38"/>
    <hyperlink xmlns:r="http://schemas.openxmlformats.org/officeDocument/2006/relationships" ref="O33" r:id="rId39"/>
    <hyperlink xmlns:r="http://schemas.openxmlformats.org/officeDocument/2006/relationships" ref="P33" r:id="rId40"/>
    <hyperlink xmlns:r="http://schemas.openxmlformats.org/officeDocument/2006/relationships" ref="D34" r:id="rId41"/>
    <hyperlink xmlns:r="http://schemas.openxmlformats.org/officeDocument/2006/relationships" ref="D35" r:id="rId42"/>
    <hyperlink xmlns:r="http://schemas.openxmlformats.org/officeDocument/2006/relationships" ref="D36" r:id="rId43"/>
    <hyperlink xmlns:r="http://schemas.openxmlformats.org/officeDocument/2006/relationships" ref="D37" r:id="rId44"/>
    <hyperlink xmlns:r="http://schemas.openxmlformats.org/officeDocument/2006/relationships" ref="D38" r:id="rId45"/>
    <hyperlink xmlns:r="http://schemas.openxmlformats.org/officeDocument/2006/relationships" ref="D39" r:id="rId46"/>
    <hyperlink xmlns:r="http://schemas.openxmlformats.org/officeDocument/2006/relationships" ref="D40" r:id="rId47"/>
    <hyperlink xmlns:r="http://schemas.openxmlformats.org/officeDocument/2006/relationships" ref="D41" r:id="rId48"/>
    <hyperlink xmlns:r="http://schemas.openxmlformats.org/officeDocument/2006/relationships" ref="D42" r:id="rId49"/>
    <hyperlink xmlns:r="http://schemas.openxmlformats.org/officeDocument/2006/relationships" ref="D43" r:id="rId50"/>
    <hyperlink xmlns:r="http://schemas.openxmlformats.org/officeDocument/2006/relationships" ref="D44" r:id="rId51"/>
    <hyperlink xmlns:r="http://schemas.openxmlformats.org/officeDocument/2006/relationships" ref="D45" r:id="rId52"/>
    <hyperlink xmlns:r="http://schemas.openxmlformats.org/officeDocument/2006/relationships" ref="D46" r:id="rId53"/>
    <hyperlink xmlns:r="http://schemas.openxmlformats.org/officeDocument/2006/relationships" ref="D47" r:id="rId54"/>
    <hyperlink xmlns:r="http://schemas.openxmlformats.org/officeDocument/2006/relationships" ref="D48" r:id="rId55"/>
    <hyperlink xmlns:r="http://schemas.openxmlformats.org/officeDocument/2006/relationships" ref="D49" r:id="rId56"/>
    <hyperlink xmlns:r="http://schemas.openxmlformats.org/officeDocument/2006/relationships" ref="D50" r:id="rId57"/>
    <hyperlink xmlns:r="http://schemas.openxmlformats.org/officeDocument/2006/relationships" ref="D51" r:id="rId58"/>
    <hyperlink xmlns:r="http://schemas.openxmlformats.org/officeDocument/2006/relationships" ref="D52" r:id="rId59"/>
    <hyperlink xmlns:r="http://schemas.openxmlformats.org/officeDocument/2006/relationships" ref="D53" r:id="rId60"/>
    <hyperlink xmlns:r="http://schemas.openxmlformats.org/officeDocument/2006/relationships" ref="D54" r:id="rId61"/>
    <hyperlink xmlns:r="http://schemas.openxmlformats.org/officeDocument/2006/relationships" ref="D56" r:id="rId62"/>
    <hyperlink xmlns:r="http://schemas.openxmlformats.org/officeDocument/2006/relationships" ref="D57" r:id="rId63"/>
    <hyperlink xmlns:r="http://schemas.openxmlformats.org/officeDocument/2006/relationships" ref="D58" r:id="rId64"/>
    <hyperlink xmlns:r="http://schemas.openxmlformats.org/officeDocument/2006/relationships" ref="D59" r:id="rId65"/>
    <hyperlink xmlns:r="http://schemas.openxmlformats.org/officeDocument/2006/relationships" ref="D60" r:id="rId66"/>
    <hyperlink xmlns:r="http://schemas.openxmlformats.org/officeDocument/2006/relationships" ref="D61" r:id="rId67"/>
    <hyperlink xmlns:r="http://schemas.openxmlformats.org/officeDocument/2006/relationships" ref="D62" r:id="rId68"/>
    <hyperlink xmlns:r="http://schemas.openxmlformats.org/officeDocument/2006/relationships" ref="D63" r:id="rId69"/>
    <hyperlink xmlns:r="http://schemas.openxmlformats.org/officeDocument/2006/relationships" ref="D67" r:id="rId70"/>
    <hyperlink xmlns:r="http://schemas.openxmlformats.org/officeDocument/2006/relationships" ref="D70" r:id="rId71"/>
    <hyperlink xmlns:r="http://schemas.openxmlformats.org/officeDocument/2006/relationships" ref="D71" r:id="rId72"/>
    <hyperlink xmlns:r="http://schemas.openxmlformats.org/officeDocument/2006/relationships" ref="D73" r:id="rId73"/>
    <hyperlink xmlns:r="http://schemas.openxmlformats.org/officeDocument/2006/relationships" ref="D74" r:id="rId74"/>
    <hyperlink xmlns:r="http://schemas.openxmlformats.org/officeDocument/2006/relationships" ref="D75" r:id="rId75"/>
    <hyperlink xmlns:r="http://schemas.openxmlformats.org/officeDocument/2006/relationships" ref="D77" r:id="rId76"/>
    <hyperlink xmlns:r="http://schemas.openxmlformats.org/officeDocument/2006/relationships" ref="D78" r:id="rId77"/>
    <hyperlink xmlns:r="http://schemas.openxmlformats.org/officeDocument/2006/relationships" ref="D84" r:id="rId78"/>
    <hyperlink xmlns:r="http://schemas.openxmlformats.org/officeDocument/2006/relationships" ref="D85" r:id="rId79"/>
    <hyperlink xmlns:r="http://schemas.openxmlformats.org/officeDocument/2006/relationships" ref="D86" r:id="rId80"/>
    <hyperlink xmlns:r="http://schemas.openxmlformats.org/officeDocument/2006/relationships" ref="D87" r:id="rId81"/>
    <hyperlink xmlns:r="http://schemas.openxmlformats.org/officeDocument/2006/relationships" ref="D88" r:id="rId82"/>
    <hyperlink xmlns:r="http://schemas.openxmlformats.org/officeDocument/2006/relationships" ref="D89" r:id="rId83"/>
    <hyperlink xmlns:r="http://schemas.openxmlformats.org/officeDocument/2006/relationships" ref="D90" r:id="rId84"/>
    <hyperlink xmlns:r="http://schemas.openxmlformats.org/officeDocument/2006/relationships" ref="D91" r:id="rId85"/>
    <hyperlink xmlns:r="http://schemas.openxmlformats.org/officeDocument/2006/relationships" ref="D92" r:id="rId86"/>
    <hyperlink xmlns:r="http://schemas.openxmlformats.org/officeDocument/2006/relationships" ref="D93" r:id="rId87"/>
    <hyperlink xmlns:r="http://schemas.openxmlformats.org/officeDocument/2006/relationships" ref="D94" r:id="rId88"/>
    <hyperlink xmlns:r="http://schemas.openxmlformats.org/officeDocument/2006/relationships" ref="D96" r:id="rId89"/>
    <hyperlink xmlns:r="http://schemas.openxmlformats.org/officeDocument/2006/relationships" ref="D97" r:id="rId90"/>
    <hyperlink xmlns:r="http://schemas.openxmlformats.org/officeDocument/2006/relationships" ref="D98" r:id="rId91"/>
    <hyperlink xmlns:r="http://schemas.openxmlformats.org/officeDocument/2006/relationships" ref="D99" r:id="rId92"/>
    <hyperlink xmlns:r="http://schemas.openxmlformats.org/officeDocument/2006/relationships" ref="D100" r:id="rId93"/>
    <hyperlink xmlns:r="http://schemas.openxmlformats.org/officeDocument/2006/relationships" ref="D101" r:id="rId94"/>
    <hyperlink xmlns:r="http://schemas.openxmlformats.org/officeDocument/2006/relationships" ref="D102" r:id="rId95"/>
    <hyperlink xmlns:r="http://schemas.openxmlformats.org/officeDocument/2006/relationships" ref="D103"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s>
  <pageMargins left="0.75" right="0.75" top="1" bottom="1" header="0" footer="0"/>
  <pageSetup orientation="portrait" paperSize="9"/>
</worksheet>
</file>

<file path=xl/worksheets/sheet2.xml><?xml version="1.0" encoding="utf-8"?>
<worksheet xmlns="http://schemas.openxmlformats.org/spreadsheetml/2006/main">
  <sheetPr>
    <tabColor rgb="FFEF4444"/>
    <outlinePr summaryBelow="1" summaryRight="1"/>
    <pageSetUpPr/>
  </sheetPr>
  <dimension ref="A1:M53"/>
  <sheetViews>
    <sheetView showGridLines="0" workbookViewId="0">
      <pane ySplit="3" topLeftCell="A4" activePane="bottomLeft" state="frozen"/>
      <selection pane="bottomLeft" activeCell="B5" sqref="B5"/>
    </sheetView>
  </sheetViews>
  <sheetFormatPr baseColWidth="8" defaultColWidth="14.43" defaultRowHeight="15" customHeight="1"/>
  <cols>
    <col width="13" customWidth="1" style="105" min="1" max="1"/>
    <col width="22" customWidth="1" style="105" min="2" max="2"/>
    <col width="18" customWidth="1" style="105" min="3" max="3"/>
    <col width="14" customWidth="1" style="105" min="4" max="4"/>
    <col width="9" customWidth="1" style="105" min="5" max="5"/>
    <col width="10" customWidth="1" style="105" min="6" max="6"/>
    <col width="14" customWidth="1" style="105" min="7" max="7"/>
    <col width="11" customWidth="1" style="105" min="8" max="8"/>
    <col width="14" customWidth="1" style="105" min="9" max="9"/>
    <col width="18" customWidth="1" style="105" min="10" max="10"/>
    <col width="14" customWidth="1" style="105" min="11" max="11"/>
    <col width="12" customWidth="1" style="105" min="12" max="13"/>
    <col width="8.710000000000001" customWidth="1" style="105" min="14" max="26"/>
  </cols>
  <sheetData>
    <row r="1" ht="36" customHeight="1" s="105">
      <c r="A1" s="114" t="inlineStr">
        <is>
          <t>🔥  HOT LEADS  ·  FIT SCORE ≥ 60  ·  AUTO-PULLED FROM COMMAND TRACKER</t>
        </is>
      </c>
      <c r="B1" s="107" t="n"/>
      <c r="C1" s="107" t="n"/>
      <c r="D1" s="107" t="n"/>
      <c r="E1" s="107" t="n"/>
      <c r="F1" s="107" t="n"/>
      <c r="G1" s="107" t="n"/>
      <c r="H1" s="107" t="n"/>
      <c r="I1" s="107" t="n"/>
      <c r="J1" s="107" t="n"/>
      <c r="K1" s="107" t="n"/>
      <c r="L1" s="107" t="n"/>
      <c r="M1" s="107" t="n"/>
    </row>
    <row r="2" ht="18" customHeight="1" s="105">
      <c r="A2" s="115" t="inlineStr">
        <is>
          <t xml:space="preserve">  These leads are auto-ranked. Work them top-down. Update the Callback Date and they'll appear in your Follow-Up Engine.</t>
        </is>
      </c>
      <c r="B2" s="107" t="n"/>
      <c r="C2" s="107" t="n"/>
      <c r="D2" s="107" t="n"/>
      <c r="E2" s="107" t="n"/>
      <c r="F2" s="107" t="n"/>
      <c r="G2" s="107" t="n"/>
      <c r="H2" s="107" t="n"/>
      <c r="I2" s="107" t="n"/>
      <c r="J2" s="107" t="n"/>
      <c r="K2" s="107" t="n"/>
      <c r="L2" s="107" t="n"/>
      <c r="M2" s="107" t="n"/>
    </row>
    <row r="3" ht="27.75" customHeight="1" s="105">
      <c r="A3" s="54" t="inlineStr">
        <is>
          <t>Priority</t>
        </is>
      </c>
      <c r="B3" s="54" t="inlineStr">
        <is>
          <t>Company</t>
        </is>
      </c>
      <c r="C3" s="54" t="inlineStr">
        <is>
          <t>Owner/DM</t>
        </is>
      </c>
      <c r="D3" s="54" t="inlineStr">
        <is>
          <t>Phone</t>
        </is>
      </c>
      <c r="E3" s="54" t="inlineStr">
        <is>
          <t># Trucks</t>
        </is>
      </c>
      <c r="F3" s="54" t="inlineStr">
        <is>
          <t>Fit Score</t>
        </is>
      </c>
      <c r="G3" s="54" t="inlineStr">
        <is>
          <t>Fit Tier</t>
        </is>
      </c>
      <c r="H3" s="54" t="inlineStr">
        <is>
          <t>Pain Score</t>
        </is>
      </c>
      <c r="I3" s="54" t="inlineStr">
        <is>
          <t>Open to Meeting?</t>
        </is>
      </c>
      <c r="J3" s="54" t="inlineStr">
        <is>
          <t>Follow-Up Action</t>
        </is>
      </c>
      <c r="K3" s="54" t="inlineStr">
        <is>
          <t>Callback Date</t>
        </is>
      </c>
      <c r="L3" s="54" t="inlineStr">
        <is>
          <t>Days Until</t>
        </is>
      </c>
      <c r="M3" s="54" t="inlineStr">
        <is>
          <t>Caller</t>
        </is>
      </c>
    </row>
    <row r="4" ht="19.5" customHeight="1" s="105">
      <c r="A4" s="40">
        <f>IFERROR(SORTN(FILTER({'⚡ COMMAND TRACKER'!AC5:AC204,'⚡ COMMAND TRACKER'!A5:A204,'⚡ COMMAND TRACKER'!E5:E204,'⚡ COMMAND TRACKER'!B5:B204,'⚡ COMMAND TRACKER'!H5:H204,'⚡ COMMAND TRACKER'!AA5:AA204,'⚡ COMMAND TRACKER'!AB5:AB204,'⚡ COMMAND TRACKER'!V5:V204,'⚡ COMMAND TRACKER'!W5:W204,'⚡ COMMAND TRACKER'!Z5:Z204,'⚡ COMMAND TRACKER'!AE5:AE204,'⚡ COMMAND TRACKER'!AF5:AF204,'⚡ COMMAND TRACKER'!AG5:AG204},'⚡ COMMAND TRACKER'!AA5:AA204&gt;=60),50,0,6,FALSE),"")</f>
        <v/>
      </c>
      <c r="B4" s="40" t="n"/>
      <c r="C4" s="40" t="n"/>
      <c r="D4" s="64" t="n"/>
      <c r="E4" s="31" t="n"/>
      <c r="F4" s="56" t="n"/>
      <c r="G4" s="31" t="n"/>
      <c r="H4" s="57" t="n"/>
      <c r="I4" s="31" t="n"/>
      <c r="J4" s="40" t="n"/>
      <c r="K4" s="42" t="n"/>
      <c r="L4" s="33" t="n"/>
      <c r="M4" s="40" t="n"/>
    </row>
    <row r="5" ht="19.5" customHeight="1" s="105">
      <c r="A5" s="44" t="n"/>
      <c r="B5" s="44" t="n"/>
      <c r="C5" s="44" t="n"/>
      <c r="D5" s="58" t="n"/>
      <c r="E5" s="23" t="n"/>
      <c r="F5" s="59" t="n"/>
      <c r="G5" s="23" t="n"/>
      <c r="H5" s="60" t="n"/>
      <c r="I5" s="23" t="n"/>
      <c r="J5" s="44" t="n"/>
      <c r="K5" s="45" t="n"/>
      <c r="L5" s="25" t="n"/>
      <c r="M5" s="44" t="n"/>
    </row>
    <row r="6" ht="19.5" customHeight="1" s="105">
      <c r="A6" s="40" t="n"/>
      <c r="B6" s="40" t="n"/>
      <c r="C6" s="40" t="n"/>
      <c r="D6" s="64" t="n"/>
      <c r="E6" s="31" t="n"/>
      <c r="F6" s="56" t="n"/>
      <c r="G6" s="31" t="n"/>
      <c r="H6" s="57" t="n"/>
      <c r="I6" s="31" t="n"/>
      <c r="J6" s="40" t="n"/>
      <c r="K6" s="42" t="n"/>
      <c r="L6" s="33" t="n"/>
      <c r="M6" s="40" t="n"/>
    </row>
    <row r="7" ht="19.5" customHeight="1" s="105">
      <c r="A7" s="44" t="n"/>
      <c r="B7" s="44" t="n"/>
      <c r="C7" s="44" t="n"/>
      <c r="D7" s="58" t="n"/>
      <c r="E7" s="23" t="n"/>
      <c r="F7" s="59" t="n"/>
      <c r="G7" s="23" t="n"/>
      <c r="H7" s="60" t="n"/>
      <c r="I7" s="23" t="n"/>
      <c r="J7" s="44" t="n"/>
      <c r="K7" s="45" t="n"/>
      <c r="L7" s="25" t="n"/>
      <c r="M7" s="44" t="n"/>
    </row>
    <row r="8" ht="19.5" customHeight="1" s="105">
      <c r="A8" s="40" t="n"/>
      <c r="B8" s="40" t="n"/>
      <c r="C8" s="40" t="n"/>
      <c r="D8" s="64" t="n"/>
      <c r="E8" s="40" t="n"/>
      <c r="F8" s="56" t="n"/>
      <c r="G8" s="31" t="n"/>
      <c r="H8" s="57" t="n"/>
      <c r="I8" s="31" t="n"/>
      <c r="J8" s="40" t="n"/>
      <c r="K8" s="42" t="n"/>
      <c r="L8" s="33" t="n"/>
      <c r="M8" s="40" t="n"/>
    </row>
    <row r="9" ht="19.5" customHeight="1" s="105">
      <c r="A9" s="44" t="n"/>
      <c r="B9" s="44" t="n"/>
      <c r="C9" s="44" t="n"/>
      <c r="D9" s="61" t="n"/>
      <c r="E9" s="44" t="n"/>
      <c r="F9" s="59" t="n"/>
      <c r="G9" s="23" t="n"/>
      <c r="H9" s="60" t="n"/>
      <c r="I9" s="23" t="n"/>
      <c r="J9" s="44" t="n"/>
      <c r="K9" s="45" t="n"/>
      <c r="L9" s="25" t="n"/>
      <c r="M9" s="44" t="n"/>
    </row>
    <row r="10" ht="19.5" customHeight="1" s="105">
      <c r="A10" s="40" t="n"/>
      <c r="B10" s="40" t="n"/>
      <c r="C10" s="40" t="n"/>
      <c r="D10" s="65" t="n"/>
      <c r="E10" s="40" t="n"/>
      <c r="F10" s="56" t="n"/>
      <c r="G10" s="31" t="n"/>
      <c r="H10" s="57" t="n"/>
      <c r="I10" s="31" t="n"/>
      <c r="J10" s="40" t="n"/>
      <c r="K10" s="42" t="n"/>
      <c r="L10" s="33" t="n"/>
      <c r="M10" s="40" t="n"/>
    </row>
    <row r="11" ht="19.5" customHeight="1" s="105">
      <c r="A11" s="44" t="n"/>
      <c r="B11" s="44" t="n"/>
      <c r="C11" s="44" t="n"/>
      <c r="D11" s="61" t="n"/>
      <c r="E11" s="44" t="n"/>
      <c r="F11" s="59" t="n"/>
      <c r="G11" s="23" t="n"/>
      <c r="H11" s="60" t="n"/>
      <c r="I11" s="23" t="n"/>
      <c r="J11" s="44" t="n"/>
      <c r="K11" s="45" t="n"/>
      <c r="L11" s="25" t="n"/>
      <c r="M11" s="44" t="n"/>
    </row>
    <row r="12" ht="19.5" customHeight="1" s="105">
      <c r="A12" s="40" t="n"/>
      <c r="B12" s="40" t="n"/>
      <c r="C12" s="40" t="n"/>
      <c r="D12" s="65" t="n"/>
      <c r="E12" s="40" t="n"/>
      <c r="F12" s="56" t="n"/>
      <c r="G12" s="31" t="n"/>
      <c r="H12" s="57" t="n"/>
      <c r="I12" s="31" t="n"/>
      <c r="J12" s="40" t="n"/>
      <c r="K12" s="42" t="n"/>
      <c r="L12" s="33" t="n"/>
      <c r="M12" s="40" t="n"/>
    </row>
    <row r="13" ht="19.5" customHeight="1" s="105">
      <c r="A13" s="44" t="n"/>
      <c r="B13" s="44" t="n"/>
      <c r="C13" s="44" t="n"/>
      <c r="D13" s="61" t="n"/>
      <c r="E13" s="44" t="n"/>
      <c r="F13" s="59" t="n"/>
      <c r="G13" s="23" t="n"/>
      <c r="H13" s="60" t="n"/>
      <c r="I13" s="23" t="n"/>
      <c r="J13" s="44" t="n"/>
      <c r="K13" s="45" t="n"/>
      <c r="L13" s="25" t="n"/>
      <c r="M13" s="44" t="n"/>
    </row>
    <row r="14" ht="19.5" customHeight="1" s="105">
      <c r="A14" s="40" t="n"/>
      <c r="B14" s="40" t="n"/>
      <c r="C14" s="40" t="n"/>
      <c r="D14" s="65" t="n"/>
      <c r="E14" s="40" t="n"/>
      <c r="F14" s="56" t="n"/>
      <c r="G14" s="31" t="n"/>
      <c r="H14" s="57" t="n"/>
      <c r="I14" s="31" t="n"/>
      <c r="J14" s="40" t="n"/>
      <c r="K14" s="42" t="n"/>
      <c r="L14" s="33" t="n"/>
      <c r="M14" s="40" t="n"/>
    </row>
    <row r="15" ht="19.5" customHeight="1" s="105">
      <c r="A15" s="44" t="n"/>
      <c r="B15" s="44" t="n"/>
      <c r="C15" s="44" t="n"/>
      <c r="D15" s="61" t="n"/>
      <c r="E15" s="44" t="n"/>
      <c r="F15" s="59" t="n"/>
      <c r="G15" s="23" t="n"/>
      <c r="H15" s="60" t="n"/>
      <c r="I15" s="23" t="n"/>
      <c r="J15" s="44" t="n"/>
      <c r="K15" s="45" t="n"/>
      <c r="L15" s="25" t="n"/>
      <c r="M15" s="44" t="n"/>
    </row>
    <row r="16" ht="19.5" customHeight="1" s="105">
      <c r="A16" s="40" t="n"/>
      <c r="B16" s="40" t="n"/>
      <c r="C16" s="40" t="n"/>
      <c r="D16" s="65" t="n"/>
      <c r="E16" s="40" t="n"/>
      <c r="F16" s="56" t="n"/>
      <c r="G16" s="31" t="n"/>
      <c r="H16" s="57" t="n"/>
      <c r="I16" s="31" t="n"/>
      <c r="J16" s="40" t="n"/>
      <c r="K16" s="42" t="n"/>
      <c r="L16" s="33" t="n"/>
      <c r="M16" s="40" t="n"/>
    </row>
    <row r="17" ht="19.5" customHeight="1" s="105">
      <c r="A17" s="44" t="n"/>
      <c r="B17" s="44" t="n"/>
      <c r="C17" s="44" t="n"/>
      <c r="D17" s="61" t="n"/>
      <c r="E17" s="44" t="n"/>
      <c r="F17" s="59" t="n"/>
      <c r="G17" s="23" t="n"/>
      <c r="H17" s="60" t="n"/>
      <c r="I17" s="23" t="n"/>
      <c r="J17" s="44" t="n"/>
      <c r="K17" s="45" t="n"/>
      <c r="L17" s="25" t="n"/>
      <c r="M17" s="44" t="n"/>
    </row>
    <row r="18" ht="19.5" customHeight="1" s="105">
      <c r="A18" s="40" t="n"/>
      <c r="B18" s="40" t="n"/>
      <c r="C18" s="40" t="n"/>
      <c r="D18" s="65" t="n"/>
      <c r="E18" s="40" t="n"/>
      <c r="F18" s="56" t="n"/>
      <c r="G18" s="31" t="n"/>
      <c r="H18" s="57" t="n"/>
      <c r="I18" s="31" t="n"/>
      <c r="J18" s="40" t="n"/>
      <c r="K18" s="42" t="n"/>
      <c r="L18" s="33" t="n"/>
      <c r="M18" s="40" t="n"/>
    </row>
    <row r="19" ht="19.5" customHeight="1" s="105">
      <c r="A19" s="44" t="n"/>
      <c r="B19" s="44" t="n"/>
      <c r="C19" s="44" t="n"/>
      <c r="D19" s="61" t="n"/>
      <c r="E19" s="44" t="n"/>
      <c r="F19" s="59" t="n"/>
      <c r="G19" s="23" t="n"/>
      <c r="H19" s="60" t="n"/>
      <c r="I19" s="23" t="n"/>
      <c r="J19" s="44" t="n"/>
      <c r="K19" s="45" t="n"/>
      <c r="L19" s="25" t="n"/>
      <c r="M19" s="44" t="n"/>
    </row>
    <row r="20" ht="19.5" customHeight="1" s="105">
      <c r="A20" s="40" t="n"/>
      <c r="B20" s="40" t="n"/>
      <c r="C20" s="40" t="n"/>
      <c r="D20" s="65" t="n"/>
      <c r="E20" s="40" t="n"/>
      <c r="F20" s="56" t="n"/>
      <c r="G20" s="31" t="n"/>
      <c r="H20" s="57" t="n"/>
      <c r="I20" s="31" t="n"/>
      <c r="J20" s="40" t="n"/>
      <c r="K20" s="42" t="n"/>
      <c r="L20" s="33" t="n"/>
      <c r="M20" s="40" t="n"/>
    </row>
    <row r="21" ht="19.5" customHeight="1" s="105">
      <c r="A21" s="44" t="n"/>
      <c r="B21" s="44" t="n"/>
      <c r="C21" s="44" t="n"/>
      <c r="D21" s="61" t="n"/>
      <c r="E21" s="44" t="n"/>
      <c r="F21" s="59" t="n"/>
      <c r="G21" s="23" t="n"/>
      <c r="H21" s="60" t="n"/>
      <c r="I21" s="23" t="n"/>
      <c r="J21" s="44" t="n"/>
      <c r="K21" s="45" t="n"/>
      <c r="L21" s="25" t="n"/>
      <c r="M21" s="44" t="n"/>
    </row>
    <row r="22" ht="19.5" customHeight="1" s="105">
      <c r="A22" s="40" t="n"/>
      <c r="B22" s="40" t="n"/>
      <c r="C22" s="40" t="n"/>
      <c r="D22" s="65" t="n"/>
      <c r="E22" s="40" t="n"/>
      <c r="F22" s="56" t="n"/>
      <c r="G22" s="31" t="n"/>
      <c r="H22" s="57" t="n"/>
      <c r="I22" s="31" t="n"/>
      <c r="J22" s="40" t="n"/>
      <c r="K22" s="42" t="n"/>
      <c r="L22" s="33" t="n"/>
      <c r="M22" s="40" t="n"/>
    </row>
    <row r="23" ht="19.5" customHeight="1" s="105">
      <c r="A23" s="44" t="n"/>
      <c r="B23" s="44" t="n"/>
      <c r="C23" s="44" t="n"/>
      <c r="D23" s="61" t="n"/>
      <c r="E23" s="44" t="n"/>
      <c r="F23" s="59" t="n"/>
      <c r="G23" s="23" t="n"/>
      <c r="H23" s="60" t="n"/>
      <c r="I23" s="23" t="n"/>
      <c r="J23" s="44" t="n"/>
      <c r="K23" s="45" t="n"/>
      <c r="L23" s="25" t="n"/>
      <c r="M23" s="44" t="n"/>
    </row>
    <row r="24" ht="19.5" customHeight="1" s="105">
      <c r="A24" s="40" t="n"/>
      <c r="B24" s="40" t="n"/>
      <c r="C24" s="40" t="n"/>
      <c r="D24" s="65" t="n"/>
      <c r="E24" s="40" t="n"/>
      <c r="F24" s="56" t="n"/>
      <c r="G24" s="31" t="n"/>
      <c r="H24" s="57" t="n"/>
      <c r="I24" s="31" t="n"/>
      <c r="J24" s="40" t="n"/>
      <c r="K24" s="42" t="n"/>
      <c r="L24" s="33" t="n"/>
      <c r="M24" s="40" t="n"/>
    </row>
    <row r="25" ht="19.5" customHeight="1" s="105">
      <c r="A25" s="44" t="n"/>
      <c r="B25" s="44" t="n"/>
      <c r="C25" s="44" t="n"/>
      <c r="D25" s="61" t="n"/>
      <c r="E25" s="44" t="n"/>
      <c r="F25" s="59" t="n"/>
      <c r="G25" s="23" t="n"/>
      <c r="H25" s="60" t="n"/>
      <c r="I25" s="23" t="n"/>
      <c r="J25" s="44" t="n"/>
      <c r="K25" s="45" t="n"/>
      <c r="L25" s="25" t="n"/>
      <c r="M25" s="44" t="n"/>
    </row>
    <row r="26" ht="19.5" customHeight="1" s="105">
      <c r="A26" s="40" t="n"/>
      <c r="B26" s="40" t="n"/>
      <c r="C26" s="40" t="n"/>
      <c r="D26" s="65" t="n"/>
      <c r="E26" s="40" t="n"/>
      <c r="F26" s="56" t="n"/>
      <c r="G26" s="31" t="n"/>
      <c r="H26" s="57" t="n"/>
      <c r="I26" s="31" t="n"/>
      <c r="J26" s="40" t="n"/>
      <c r="K26" s="42" t="n"/>
      <c r="L26" s="33" t="n"/>
      <c r="M26" s="40" t="n"/>
    </row>
    <row r="27" ht="19.5" customHeight="1" s="105">
      <c r="A27" s="44" t="n"/>
      <c r="B27" s="44" t="n"/>
      <c r="C27" s="44" t="n"/>
      <c r="D27" s="61" t="n"/>
      <c r="E27" s="44" t="n"/>
      <c r="F27" s="59" t="n"/>
      <c r="G27" s="23" t="n"/>
      <c r="H27" s="60" t="n"/>
      <c r="I27" s="23" t="n"/>
      <c r="J27" s="44" t="n"/>
      <c r="K27" s="45" t="n"/>
      <c r="L27" s="25" t="n"/>
      <c r="M27" s="44" t="n"/>
    </row>
    <row r="28" ht="19.5" customHeight="1" s="105">
      <c r="A28" s="40" t="n"/>
      <c r="B28" s="40" t="n"/>
      <c r="C28" s="40" t="n"/>
      <c r="D28" s="65" t="n"/>
      <c r="E28" s="40" t="n"/>
      <c r="F28" s="56" t="n"/>
      <c r="G28" s="31" t="n"/>
      <c r="H28" s="57" t="n"/>
      <c r="I28" s="31" t="n"/>
      <c r="J28" s="40" t="n"/>
      <c r="K28" s="42" t="n"/>
      <c r="L28" s="33" t="n"/>
      <c r="M28" s="40" t="n"/>
    </row>
    <row r="29" ht="19.5" customHeight="1" s="105">
      <c r="A29" s="44" t="n"/>
      <c r="B29" s="44" t="n"/>
      <c r="C29" s="44" t="n"/>
      <c r="D29" s="61" t="n"/>
      <c r="E29" s="44" t="n"/>
      <c r="F29" s="59" t="n"/>
      <c r="G29" s="23" t="n"/>
      <c r="H29" s="60" t="n"/>
      <c r="I29" s="23" t="n"/>
      <c r="J29" s="44" t="n"/>
      <c r="K29" s="45" t="n"/>
      <c r="L29" s="25" t="n"/>
      <c r="M29" s="44" t="n"/>
    </row>
    <row r="30" ht="19.5" customHeight="1" s="105">
      <c r="A30" s="40" t="n"/>
      <c r="B30" s="40" t="n"/>
      <c r="C30" s="40" t="n"/>
      <c r="D30" s="65" t="n"/>
      <c r="E30" s="40" t="n"/>
      <c r="F30" s="56" t="n"/>
      <c r="G30" s="31" t="n"/>
      <c r="H30" s="57" t="n"/>
      <c r="I30" s="31" t="n"/>
      <c r="J30" s="40" t="n"/>
      <c r="K30" s="42" t="n"/>
      <c r="L30" s="33" t="n"/>
      <c r="M30" s="40" t="n"/>
    </row>
    <row r="31" ht="19.5" customHeight="1" s="105">
      <c r="A31" s="44" t="n"/>
      <c r="B31" s="44" t="n"/>
      <c r="C31" s="44" t="n"/>
      <c r="D31" s="61" t="n"/>
      <c r="E31" s="44" t="n"/>
      <c r="F31" s="59" t="n"/>
      <c r="G31" s="23" t="n"/>
      <c r="H31" s="60" t="n"/>
      <c r="I31" s="23" t="n"/>
      <c r="J31" s="44" t="n"/>
      <c r="K31" s="45" t="n"/>
      <c r="L31" s="25" t="n"/>
      <c r="M31" s="44" t="n"/>
    </row>
    <row r="32" ht="19.5" customHeight="1" s="105">
      <c r="A32" s="40" t="n"/>
      <c r="B32" s="40" t="n"/>
      <c r="C32" s="40" t="n"/>
      <c r="D32" s="65" t="n"/>
      <c r="E32" s="40" t="n"/>
      <c r="F32" s="56" t="n"/>
      <c r="G32" s="31" t="n"/>
      <c r="H32" s="57" t="n"/>
      <c r="I32" s="31" t="n"/>
      <c r="J32" s="40" t="n"/>
      <c r="K32" s="42" t="n"/>
      <c r="L32" s="33" t="n"/>
      <c r="M32" s="40" t="n"/>
    </row>
    <row r="33" ht="19.5" customHeight="1" s="105">
      <c r="A33" s="44" t="n"/>
      <c r="B33" s="44" t="n"/>
      <c r="C33" s="44" t="n"/>
      <c r="D33" s="61" t="n"/>
      <c r="E33" s="44" t="n"/>
      <c r="F33" s="59" t="n"/>
      <c r="G33" s="23" t="n"/>
      <c r="H33" s="60" t="n"/>
      <c r="I33" s="23" t="n"/>
      <c r="J33" s="44" t="n"/>
      <c r="K33" s="45" t="n"/>
      <c r="L33" s="25" t="n"/>
      <c r="M33" s="44" t="n"/>
    </row>
    <row r="34" ht="19.5" customHeight="1" s="105">
      <c r="A34" s="40" t="n"/>
      <c r="B34" s="40" t="n"/>
      <c r="C34" s="40" t="n"/>
      <c r="D34" s="65" t="n"/>
      <c r="E34" s="40" t="n"/>
      <c r="F34" s="56" t="n"/>
      <c r="G34" s="31" t="n"/>
      <c r="H34" s="57" t="n"/>
      <c r="I34" s="31" t="n"/>
      <c r="J34" s="40" t="n"/>
      <c r="K34" s="42" t="n"/>
      <c r="L34" s="33" t="n"/>
      <c r="M34" s="40" t="n"/>
    </row>
    <row r="35" ht="19.5" customHeight="1" s="105">
      <c r="A35" s="44" t="n"/>
      <c r="B35" s="44" t="n"/>
      <c r="C35" s="44" t="n"/>
      <c r="D35" s="61" t="n"/>
      <c r="E35" s="44" t="n"/>
      <c r="F35" s="59" t="n"/>
      <c r="G35" s="23" t="n"/>
      <c r="H35" s="60" t="n"/>
      <c r="I35" s="23" t="n"/>
      <c r="J35" s="44" t="n"/>
      <c r="K35" s="45" t="n"/>
      <c r="L35" s="25" t="n"/>
      <c r="M35" s="44" t="n"/>
    </row>
    <row r="36" ht="19.5" customHeight="1" s="105">
      <c r="A36" s="40" t="n"/>
      <c r="B36" s="40" t="n"/>
      <c r="C36" s="40" t="n"/>
      <c r="D36" s="65" t="n"/>
      <c r="E36" s="40" t="n"/>
      <c r="F36" s="56" t="n"/>
      <c r="G36" s="31" t="n"/>
      <c r="H36" s="57" t="n"/>
      <c r="I36" s="31" t="n"/>
      <c r="J36" s="40" t="n"/>
      <c r="K36" s="42" t="n"/>
      <c r="L36" s="33" t="n"/>
      <c r="M36" s="40" t="n"/>
    </row>
    <row r="37" ht="19.5" customHeight="1" s="105">
      <c r="A37" s="44" t="n"/>
      <c r="B37" s="44" t="n"/>
      <c r="C37" s="44" t="n"/>
      <c r="D37" s="61" t="n"/>
      <c r="E37" s="44" t="n"/>
      <c r="F37" s="59" t="n"/>
      <c r="G37" s="23" t="n"/>
      <c r="H37" s="60" t="n"/>
      <c r="I37" s="23" t="n"/>
      <c r="J37" s="44" t="n"/>
      <c r="K37" s="45" t="n"/>
      <c r="L37" s="25" t="n"/>
      <c r="M37" s="44" t="n"/>
    </row>
    <row r="38" ht="19.5" customHeight="1" s="105">
      <c r="A38" s="40" t="n"/>
      <c r="B38" s="40" t="n"/>
      <c r="C38" s="40" t="n"/>
      <c r="D38" s="65" t="n"/>
      <c r="E38" s="40" t="n"/>
      <c r="F38" s="56" t="n"/>
      <c r="G38" s="31" t="n"/>
      <c r="H38" s="57" t="n"/>
      <c r="I38" s="31" t="n"/>
      <c r="J38" s="40" t="n"/>
      <c r="K38" s="42" t="n"/>
      <c r="L38" s="33" t="n"/>
      <c r="M38" s="40" t="n"/>
    </row>
    <row r="39" ht="19.5" customHeight="1" s="105">
      <c r="A39" s="44" t="n"/>
      <c r="B39" s="44" t="n"/>
      <c r="C39" s="44" t="n"/>
      <c r="D39" s="61" t="n"/>
      <c r="E39" s="44" t="n"/>
      <c r="F39" s="59" t="n"/>
      <c r="G39" s="23" t="n"/>
      <c r="H39" s="60" t="n"/>
      <c r="I39" s="23" t="n"/>
      <c r="J39" s="44" t="n"/>
      <c r="K39" s="45" t="n"/>
      <c r="L39" s="25" t="n"/>
      <c r="M39" s="44" t="n"/>
    </row>
    <row r="40" ht="19.5" customHeight="1" s="105">
      <c r="A40" s="40" t="n"/>
      <c r="B40" s="40" t="n"/>
      <c r="C40" s="40" t="n"/>
      <c r="D40" s="65" t="n"/>
      <c r="E40" s="40" t="n"/>
      <c r="F40" s="56" t="n"/>
      <c r="G40" s="31" t="n"/>
      <c r="H40" s="57" t="n"/>
      <c r="I40" s="31" t="n"/>
      <c r="J40" s="40" t="n"/>
      <c r="K40" s="42" t="n"/>
      <c r="L40" s="33" t="n"/>
      <c r="M40" s="40" t="n"/>
    </row>
    <row r="41" ht="19.5" customHeight="1" s="105">
      <c r="A41" s="44" t="n"/>
      <c r="B41" s="44" t="n"/>
      <c r="C41" s="44" t="n"/>
      <c r="D41" s="61" t="n"/>
      <c r="E41" s="44" t="n"/>
      <c r="F41" s="59" t="n"/>
      <c r="G41" s="23" t="n"/>
      <c r="H41" s="60" t="n"/>
      <c r="I41" s="23" t="n"/>
      <c r="J41" s="44" t="n"/>
      <c r="K41" s="45" t="n"/>
      <c r="L41" s="25" t="n"/>
      <c r="M41" s="44" t="n"/>
    </row>
    <row r="42" ht="19.5" customHeight="1" s="105">
      <c r="A42" s="40" t="n"/>
      <c r="B42" s="40" t="n"/>
      <c r="C42" s="40" t="n"/>
      <c r="D42" s="65" t="n"/>
      <c r="E42" s="40" t="n"/>
      <c r="F42" s="56" t="n"/>
      <c r="G42" s="31" t="n"/>
      <c r="H42" s="57" t="n"/>
      <c r="I42" s="31" t="n"/>
      <c r="J42" s="40" t="n"/>
      <c r="K42" s="42" t="n"/>
      <c r="L42" s="33" t="n"/>
      <c r="M42" s="40" t="n"/>
    </row>
    <row r="43" ht="19.5" customHeight="1" s="105">
      <c r="A43" s="44" t="n"/>
      <c r="B43" s="44" t="n"/>
      <c r="C43" s="44" t="n"/>
      <c r="D43" s="61" t="n"/>
      <c r="E43" s="44" t="n"/>
      <c r="F43" s="59" t="n"/>
      <c r="G43" s="23" t="n"/>
      <c r="H43" s="60" t="n"/>
      <c r="I43" s="23" t="n"/>
      <c r="J43" s="44" t="n"/>
      <c r="K43" s="45" t="n"/>
      <c r="L43" s="25" t="n"/>
      <c r="M43" s="44" t="n"/>
    </row>
    <row r="44" ht="19.5" customHeight="1" s="105">
      <c r="A44" s="40" t="n"/>
      <c r="B44" s="40" t="n"/>
      <c r="C44" s="40" t="n"/>
      <c r="D44" s="65" t="n"/>
      <c r="E44" s="40" t="n"/>
      <c r="F44" s="56" t="n"/>
      <c r="G44" s="31" t="n"/>
      <c r="H44" s="57" t="n"/>
      <c r="I44" s="31" t="n"/>
      <c r="J44" s="40" t="n"/>
      <c r="K44" s="42" t="n"/>
      <c r="L44" s="33" t="n"/>
      <c r="M44" s="40" t="n"/>
    </row>
    <row r="45" ht="19.5" customHeight="1" s="105">
      <c r="A45" s="44" t="n"/>
      <c r="B45" s="44" t="n"/>
      <c r="C45" s="44" t="n"/>
      <c r="D45" s="61" t="n"/>
      <c r="E45" s="44" t="n"/>
      <c r="F45" s="59" t="n"/>
      <c r="G45" s="23" t="n"/>
      <c r="H45" s="60" t="n"/>
      <c r="I45" s="23" t="n"/>
      <c r="J45" s="44" t="n"/>
      <c r="K45" s="45" t="n"/>
      <c r="L45" s="25" t="n"/>
      <c r="M45" s="44" t="n"/>
    </row>
    <row r="46" ht="19.5" customHeight="1" s="105">
      <c r="A46" s="40" t="n"/>
      <c r="B46" s="40" t="n"/>
      <c r="C46" s="40" t="n"/>
      <c r="D46" s="65" t="n"/>
      <c r="E46" s="40" t="n"/>
      <c r="F46" s="56" t="n"/>
      <c r="G46" s="31" t="n"/>
      <c r="H46" s="57" t="n"/>
      <c r="I46" s="31" t="n"/>
      <c r="J46" s="40" t="n"/>
      <c r="K46" s="42" t="n"/>
      <c r="L46" s="33" t="n"/>
      <c r="M46" s="40" t="n"/>
    </row>
    <row r="47" ht="19.5" customHeight="1" s="105">
      <c r="A47" s="44" t="n"/>
      <c r="B47" s="44" t="n"/>
      <c r="C47" s="44" t="n"/>
      <c r="D47" s="61" t="n"/>
      <c r="E47" s="44" t="n"/>
      <c r="F47" s="59" t="n"/>
      <c r="G47" s="23" t="n"/>
      <c r="H47" s="60" t="n"/>
      <c r="I47" s="23" t="n"/>
      <c r="J47" s="44" t="n"/>
      <c r="K47" s="45" t="n"/>
      <c r="L47" s="25" t="n"/>
      <c r="M47" s="44" t="n"/>
    </row>
    <row r="48" ht="19.5" customHeight="1" s="105">
      <c r="A48" s="40" t="n"/>
      <c r="B48" s="40" t="n"/>
      <c r="C48" s="40" t="n"/>
      <c r="D48" s="65" t="n"/>
      <c r="E48" s="40" t="n"/>
      <c r="F48" s="56" t="n"/>
      <c r="G48" s="31" t="n"/>
      <c r="H48" s="57" t="n"/>
      <c r="I48" s="31" t="n"/>
      <c r="J48" s="40" t="n"/>
      <c r="K48" s="42" t="n"/>
      <c r="L48" s="33" t="n"/>
      <c r="M48" s="40" t="n"/>
    </row>
    <row r="49" ht="19.5" customHeight="1" s="105">
      <c r="A49" s="44" t="n"/>
      <c r="B49" s="44" t="n"/>
      <c r="C49" s="44" t="n"/>
      <c r="D49" s="61" t="n"/>
      <c r="E49" s="44" t="n"/>
      <c r="F49" s="59" t="n"/>
      <c r="G49" s="23" t="n"/>
      <c r="H49" s="60" t="n"/>
      <c r="I49" s="23" t="n"/>
      <c r="J49" s="44" t="n"/>
      <c r="K49" s="45" t="n"/>
      <c r="L49" s="25" t="n"/>
      <c r="M49" s="44" t="n"/>
    </row>
    <row r="50" ht="19.5" customHeight="1" s="105">
      <c r="A50" s="40" t="n"/>
      <c r="B50" s="40" t="n"/>
      <c r="C50" s="40" t="n"/>
      <c r="D50" s="65" t="n"/>
      <c r="E50" s="40" t="n"/>
      <c r="F50" s="56" t="n"/>
      <c r="G50" s="31" t="n"/>
      <c r="H50" s="57" t="n"/>
      <c r="I50" s="31" t="n"/>
      <c r="J50" s="40" t="n"/>
      <c r="K50" s="42" t="n"/>
      <c r="L50" s="33" t="n"/>
      <c r="M50" s="40" t="n"/>
    </row>
    <row r="51" ht="19.5" customHeight="1" s="105">
      <c r="A51" s="44" t="n"/>
      <c r="B51" s="44" t="n"/>
      <c r="C51" s="44" t="n"/>
      <c r="D51" s="61" t="n"/>
      <c r="E51" s="44" t="n"/>
      <c r="F51" s="59" t="n"/>
      <c r="G51" s="23" t="n"/>
      <c r="H51" s="60" t="n"/>
      <c r="I51" s="23" t="n"/>
      <c r="J51" s="44" t="n"/>
      <c r="K51" s="45" t="n"/>
      <c r="L51" s="25" t="n"/>
      <c r="M51" s="44" t="n"/>
    </row>
    <row r="52" ht="19.5" customHeight="1" s="105">
      <c r="A52" s="40" t="n"/>
      <c r="B52" s="40" t="n"/>
      <c r="C52" s="40" t="n"/>
      <c r="D52" s="65" t="n"/>
      <c r="E52" s="40" t="n"/>
      <c r="F52" s="56" t="n"/>
      <c r="G52" s="31" t="n"/>
      <c r="H52" s="57" t="n"/>
      <c r="I52" s="31" t="n"/>
      <c r="J52" s="40" t="n"/>
      <c r="K52" s="42" t="n"/>
      <c r="L52" s="33" t="n"/>
      <c r="M52" s="40" t="n"/>
    </row>
    <row r="53" ht="19.5" customHeight="1" s="105">
      <c r="A53" s="44" t="n"/>
      <c r="B53" s="44" t="n"/>
      <c r="C53" s="44" t="n"/>
      <c r="D53" s="61" t="n"/>
      <c r="E53" s="44" t="n"/>
      <c r="F53" s="59" t="n"/>
      <c r="G53" s="23" t="n"/>
      <c r="H53" s="60" t="n"/>
      <c r="I53" s="23" t="n"/>
      <c r="J53" s="44" t="n"/>
      <c r="K53" s="45" t="n"/>
      <c r="L53" s="25" t="n"/>
      <c r="M53" s="44" t="n"/>
    </row>
    <row r="54" ht="15.75" customHeight="1" s="105"/>
    <row r="55" ht="15.75" customHeight="1" s="105"/>
    <row r="56" ht="15.75" customHeight="1" s="105"/>
    <row r="57" ht="15.75" customHeight="1" s="105"/>
    <row r="58" ht="15.75" customHeight="1" s="105"/>
    <row r="59" ht="15.75" customHeight="1" s="105"/>
    <row r="60" ht="15.75" customHeight="1" s="105"/>
    <row r="61" ht="15.75" customHeight="1" s="105"/>
    <row r="62" ht="15.75" customHeight="1" s="105"/>
    <row r="63" ht="15.75" customHeight="1" s="105"/>
    <row r="64" ht="15.75" customHeight="1" s="105"/>
    <row r="65" ht="15.75" customHeight="1" s="105"/>
    <row r="66" ht="15.75" customHeight="1" s="105"/>
    <row r="67" ht="15.75" customHeight="1" s="105"/>
    <row r="68" ht="15.75" customHeight="1" s="105"/>
    <row r="69" ht="15.75" customHeight="1" s="105"/>
    <row r="70" ht="15.75" customHeight="1" s="105"/>
    <row r="71" ht="15.75" customHeight="1" s="105"/>
    <row r="72" ht="15.75" customHeight="1" s="105"/>
    <row r="73" ht="15.75" customHeight="1" s="105"/>
    <row r="74" ht="15.75" customHeight="1" s="105"/>
    <row r="75" ht="15.75" customHeight="1" s="105"/>
    <row r="76" ht="15.75" customHeight="1" s="105"/>
    <row r="77" ht="15.75" customHeight="1" s="105"/>
    <row r="78" ht="15.75" customHeight="1" s="105"/>
    <row r="79" ht="15.75" customHeight="1" s="105"/>
    <row r="80" ht="15.75" customHeight="1" s="105"/>
    <row r="81" ht="15.75" customHeight="1" s="105"/>
    <row r="82" ht="15.75" customHeight="1" s="105"/>
    <row r="83" ht="15.75" customHeight="1" s="105"/>
    <row r="84" ht="15.75" customHeight="1" s="105"/>
    <row r="85" ht="15.75" customHeight="1" s="105"/>
    <row r="86" ht="15.75" customHeight="1" s="105"/>
    <row r="87" ht="15.75" customHeight="1" s="105"/>
    <row r="88" ht="15.75" customHeight="1" s="105"/>
    <row r="89" ht="15.75" customHeight="1" s="105"/>
    <row r="90" ht="15.75" customHeight="1" s="105"/>
    <row r="91" ht="15.75" customHeight="1" s="105"/>
    <row r="92" ht="15.75" customHeight="1" s="105"/>
    <row r="93" ht="15.75" customHeight="1" s="105"/>
    <row r="94" ht="15.75" customHeight="1" s="105"/>
    <row r="95" ht="15.75" customHeight="1" s="105"/>
    <row r="96" ht="15.75" customHeight="1" s="105"/>
    <row r="97" ht="15.75" customHeight="1" s="105"/>
    <row r="98" ht="15.75" customHeight="1" s="105"/>
    <row r="99" ht="15.75" customHeight="1" s="105"/>
    <row r="100" ht="15.75" customHeight="1" s="105"/>
    <row r="101" ht="15.75" customHeight="1" s="105"/>
    <row r="102" ht="15.75" customHeight="1" s="105"/>
    <row r="103" ht="15.75" customHeight="1" s="105"/>
    <row r="104" ht="15.75" customHeight="1" s="105"/>
    <row r="105" ht="15.75" customHeight="1" s="105"/>
    <row r="106" ht="15.75" customHeight="1" s="105"/>
    <row r="107" ht="15.75" customHeight="1" s="105"/>
    <row r="108" ht="15.75" customHeight="1" s="105"/>
    <row r="109" ht="15.75" customHeight="1" s="105"/>
    <row r="110" ht="15.75" customHeight="1" s="105"/>
    <row r="111" ht="15.75" customHeight="1" s="105"/>
    <row r="112" ht="15.75" customHeight="1" s="105"/>
    <row r="113" ht="15.75" customHeight="1" s="105"/>
    <row r="114" ht="15.75" customHeight="1" s="105"/>
    <row r="115" ht="15.75" customHeight="1" s="105"/>
    <row r="116" ht="15.75" customHeight="1" s="105"/>
    <row r="117" ht="15.75" customHeight="1" s="105"/>
    <row r="118" ht="15.75" customHeight="1" s="105"/>
    <row r="119" ht="15.75" customHeight="1" s="105"/>
    <row r="120" ht="15.75" customHeight="1" s="105"/>
    <row r="121" ht="15.75" customHeight="1" s="105"/>
    <row r="122" ht="15.75" customHeight="1" s="105"/>
    <row r="123" ht="15.75" customHeight="1" s="105"/>
    <row r="124" ht="15.75" customHeight="1" s="105"/>
    <row r="125" ht="15.75" customHeight="1" s="105"/>
    <row r="126" ht="15.75" customHeight="1" s="105"/>
    <row r="127" ht="15.75" customHeight="1" s="105"/>
    <row r="128" ht="15.75" customHeight="1" s="105"/>
    <row r="129" ht="15.75" customHeight="1" s="105"/>
    <row r="130" ht="15.75" customHeight="1" s="105"/>
    <row r="131" ht="15.75" customHeight="1" s="105"/>
    <row r="132" ht="15.75" customHeight="1" s="105"/>
    <row r="133" ht="15.75" customHeight="1" s="105"/>
    <row r="134" ht="15.75" customHeight="1" s="105"/>
    <row r="135" ht="15.75" customHeight="1" s="105"/>
    <row r="136" ht="15.75" customHeight="1" s="105"/>
    <row r="137" ht="15.75" customHeight="1" s="105"/>
    <row r="138" ht="15.75" customHeight="1" s="105"/>
    <row r="139" ht="15.75" customHeight="1" s="105"/>
    <row r="140" ht="15.75" customHeight="1" s="105"/>
    <row r="141" ht="15.75" customHeight="1" s="105"/>
    <row r="142" ht="15.75" customHeight="1" s="105"/>
    <row r="143" ht="15.75" customHeight="1" s="105"/>
    <row r="144" ht="15.75" customHeight="1" s="105"/>
    <row r="145" ht="15.75" customHeight="1" s="105"/>
    <row r="146" ht="15.75" customHeight="1" s="105"/>
    <row r="147" ht="15.75" customHeight="1" s="105"/>
    <row r="148" ht="15.75" customHeight="1" s="105"/>
    <row r="149" ht="15.75" customHeight="1" s="105"/>
    <row r="150" ht="15.75" customHeight="1" s="105"/>
    <row r="151" ht="15.75" customHeight="1" s="105"/>
    <row r="152" ht="15.75" customHeight="1" s="105"/>
    <row r="153" ht="15.75" customHeight="1" s="105"/>
    <row r="154" ht="15.75" customHeight="1" s="105"/>
    <row r="155" ht="15.75" customHeight="1" s="105"/>
    <row r="156" ht="15.75" customHeight="1" s="105"/>
    <row r="157" ht="15.75" customHeight="1" s="105"/>
    <row r="158" ht="15.75" customHeight="1" s="105"/>
    <row r="159" ht="15.75" customHeight="1" s="105"/>
    <row r="160" ht="15.75" customHeight="1" s="105"/>
    <row r="161" ht="15.75" customHeight="1" s="105"/>
    <row r="162" ht="15.75" customHeight="1" s="105"/>
    <row r="163" ht="15.75" customHeight="1" s="105"/>
    <row r="164" ht="15.75" customHeight="1" s="105"/>
    <row r="165" ht="15.75" customHeight="1" s="105"/>
    <row r="166" ht="15.75" customHeight="1" s="105"/>
    <row r="167" ht="15.75" customHeight="1" s="105"/>
    <row r="168" ht="15.75" customHeight="1" s="105"/>
    <row r="169" ht="15.75" customHeight="1" s="105"/>
    <row r="170" ht="15.75" customHeight="1" s="105"/>
    <row r="171" ht="15.75" customHeight="1" s="105"/>
    <row r="172" ht="15.75" customHeight="1" s="105"/>
    <row r="173" ht="15.75" customHeight="1" s="105"/>
    <row r="174" ht="15.75" customHeight="1" s="105"/>
    <row r="175" ht="15.75" customHeight="1" s="105"/>
    <row r="176" ht="15.75" customHeight="1" s="105"/>
    <row r="177" ht="15.75" customHeight="1" s="105"/>
    <row r="178" ht="15.75" customHeight="1" s="105"/>
    <row r="179" ht="15.75" customHeight="1" s="105"/>
    <row r="180" ht="15.75" customHeight="1" s="105"/>
    <row r="181" ht="15.75" customHeight="1" s="105"/>
    <row r="182" ht="15.75" customHeight="1" s="105"/>
    <row r="183" ht="15.75" customHeight="1" s="105"/>
    <row r="184" ht="15.75" customHeight="1" s="105"/>
    <row r="185" ht="15.75" customHeight="1" s="105"/>
    <row r="186" ht="15.75" customHeight="1" s="105"/>
    <row r="187" ht="15.75" customHeight="1" s="105"/>
    <row r="188" ht="15.75" customHeight="1" s="105"/>
    <row r="189" ht="15.75" customHeight="1" s="105"/>
    <row r="190" ht="15.75" customHeight="1" s="105"/>
    <row r="191" ht="15.75" customHeight="1" s="105"/>
    <row r="192" ht="15.75" customHeight="1" s="105"/>
    <row r="193" ht="15.75" customHeight="1" s="105"/>
    <row r="194" ht="15.75" customHeight="1" s="105"/>
    <row r="195" ht="15.75" customHeight="1" s="105"/>
    <row r="196" ht="15.75" customHeight="1" s="105"/>
    <row r="197" ht="15.75" customHeight="1" s="105"/>
    <row r="198" ht="15.75" customHeight="1" s="105"/>
    <row r="199" ht="15.75" customHeight="1" s="105"/>
    <row r="200" ht="15.75" customHeight="1" s="105"/>
    <row r="201" ht="15.75" customHeight="1" s="105"/>
    <row r="202" ht="15.75" customHeight="1" s="105"/>
    <row r="203" ht="15.75" customHeight="1" s="105"/>
    <row r="204" ht="15.75" customHeight="1" s="105"/>
    <row r="205" ht="15.75" customHeight="1" s="105"/>
    <row r="206" ht="15.75" customHeight="1" s="105"/>
    <row r="207" ht="15.75" customHeight="1" s="105"/>
    <row r="208" ht="15.75" customHeight="1" s="105"/>
    <row r="209" ht="15.75" customHeight="1" s="105"/>
    <row r="210" ht="15.75" customHeight="1" s="105"/>
    <row r="211" ht="15.75" customHeight="1" s="105"/>
    <row r="212" ht="15.75" customHeight="1" s="105"/>
    <row r="213" ht="15.75" customHeight="1" s="105"/>
    <row r="214" ht="15.75" customHeight="1" s="105"/>
    <row r="215" ht="15.75" customHeight="1" s="105"/>
    <row r="216" ht="15.75" customHeight="1" s="105"/>
    <row r="217" ht="15.75" customHeight="1" s="105"/>
    <row r="218" ht="15.75" customHeight="1" s="105"/>
    <row r="219" ht="15.75" customHeight="1" s="105"/>
    <row r="220" ht="15.75" customHeight="1" s="105"/>
    <row r="221" ht="15.75" customHeight="1" s="105"/>
    <row r="222" ht="15.75" customHeight="1" s="105"/>
    <row r="223" ht="15.75" customHeight="1" s="105"/>
    <row r="224" ht="15.75" customHeight="1" s="105"/>
    <row r="225" ht="15.75" customHeight="1" s="105"/>
    <row r="226" ht="15.75" customHeight="1" s="105"/>
    <row r="227" ht="15.75" customHeight="1" s="105"/>
    <row r="228" ht="15.75" customHeight="1" s="105"/>
    <row r="229" ht="15.75" customHeight="1" s="105"/>
    <row r="230" ht="15.75" customHeight="1" s="105"/>
    <row r="231" ht="15.75" customHeight="1" s="105"/>
    <row r="232" ht="15.75" customHeight="1" s="105"/>
    <row r="233" ht="15.75" customHeight="1" s="105"/>
    <row r="234" ht="15.75" customHeight="1" s="105"/>
    <row r="235" ht="15.75" customHeight="1" s="105"/>
    <row r="236" ht="15.75" customHeight="1" s="105"/>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row r="990" ht="15.75" customHeight="1" s="105"/>
    <row r="991" ht="15.75" customHeight="1" s="105"/>
    <row r="992" ht="15.75" customHeight="1" s="105"/>
    <row r="993" ht="15.75" customHeight="1" s="105"/>
    <row r="994" ht="15.75" customHeight="1" s="105"/>
    <row r="995" ht="15.75" customHeight="1" s="105"/>
    <row r="996" ht="15.75" customHeight="1" s="105"/>
    <row r="997" ht="15.75" customHeight="1" s="105"/>
    <row r="998" ht="15.75" customHeight="1" s="105"/>
    <row r="999" ht="15.75" customHeight="1" s="105"/>
    <row r="1000" ht="15.75" customHeight="1" s="105"/>
  </sheetData>
  <mergeCells count="2">
    <mergeCell ref="A2:M2"/>
    <mergeCell ref="A1:M1"/>
  </mergeCells>
  <conditionalFormatting sqref="F4:F53">
    <cfRule type="colorScale" priority="1">
      <colorScale>
        <cfvo type="formula" val="0"/>
        <cfvo type="formula" val="50"/>
        <cfvo type="formula" val="100"/>
        <color rgb="FFEF4444"/>
        <color rgb="FFF59E0B"/>
        <color rgb="FF21E68A"/>
      </colorScale>
    </cfRule>
  </conditionalFormatting>
  <conditionalFormatting sqref="L4:L53">
    <cfRule type="cellIs" priority="2" operator="lessThan" dxfId="0">
      <formula>1</formula>
    </cfRule>
    <cfRule type="cellIs" priority="3" operator="between" dxfId="1">
      <formula>0</formula>
      <formula>3</formula>
    </cfRule>
  </conditionalFormatting>
  <pageMargins left="0.75" right="0.75" top="1" bottom="1" header="0" footer="0"/>
  <pageSetup orientation="portrait" paperSize="9"/>
</worksheet>
</file>

<file path=xl/worksheets/sheet3.xml><?xml version="1.0" encoding="utf-8"?>
<worksheet xmlns="http://schemas.openxmlformats.org/spreadsheetml/2006/main">
  <sheetPr>
    <tabColor rgb="FFF59E0B"/>
    <outlinePr summaryBelow="1" summaryRight="1"/>
    <pageSetUpPr/>
  </sheetPr>
  <dimension ref="A1:K203"/>
  <sheetViews>
    <sheetView showGridLines="0" workbookViewId="0">
      <pane ySplit="3" topLeftCell="A4" activePane="bottomLeft" state="frozen"/>
      <selection pane="bottomLeft" activeCell="B5" sqref="B5"/>
    </sheetView>
  </sheetViews>
  <sheetFormatPr baseColWidth="8" defaultColWidth="14.43" defaultRowHeight="15" customHeight="1"/>
  <cols>
    <col width="12" customWidth="1" style="105" min="1" max="1"/>
    <col width="22" customWidth="1" style="105" min="2" max="2"/>
    <col width="18" customWidth="1" style="105" min="3" max="3"/>
    <col width="14" customWidth="1" style="105" min="4" max="4"/>
    <col width="10" customWidth="1" style="105" min="5" max="5"/>
    <col width="14" customWidth="1" style="105" min="6" max="7"/>
    <col width="18" customWidth="1" style="105" min="8" max="8"/>
    <col width="13" customWidth="1" style="105" min="9" max="11"/>
    <col width="8.710000000000001" customWidth="1" style="105" min="12" max="26"/>
  </cols>
  <sheetData>
    <row r="1" ht="36" customHeight="1" s="105">
      <c r="A1" s="116" t="inlineStr">
        <is>
          <t>📅  FOLLOW-UP ENGINE  ·  WHO TO CALL TODAY  ·  SORTED BY URGENCY</t>
        </is>
      </c>
      <c r="B1" s="107" t="n"/>
      <c r="C1" s="107" t="n"/>
      <c r="D1" s="107" t="n"/>
      <c r="E1" s="107" t="n"/>
      <c r="F1" s="107" t="n"/>
      <c r="G1" s="107" t="n"/>
      <c r="H1" s="107" t="n"/>
      <c r="I1" s="107" t="n"/>
      <c r="J1" s="107" t="n"/>
      <c r="K1" s="107" t="n"/>
    </row>
    <row r="2" ht="18" customHeight="1" s="105">
      <c r="A2" s="115" t="inlineStr">
        <is>
          <t xml:space="preserve">  Leads with Callback Date = today or overdue. Red = overdue. Green = due today/tomorrow. Update tracker to clear.</t>
        </is>
      </c>
      <c r="B2" s="107" t="n"/>
      <c r="C2" s="107" t="n"/>
      <c r="D2" s="107" t="n"/>
      <c r="E2" s="107" t="n"/>
      <c r="F2" s="107" t="n"/>
      <c r="G2" s="107" t="n"/>
      <c r="H2" s="107" t="n"/>
      <c r="I2" s="107" t="n"/>
      <c r="J2" s="107" t="n"/>
      <c r="K2" s="107" t="n"/>
    </row>
    <row r="3" ht="27.75" customHeight="1" s="105">
      <c r="A3" s="54" t="inlineStr">
        <is>
          <t>Status</t>
        </is>
      </c>
      <c r="B3" s="54" t="inlineStr">
        <is>
          <t>Company</t>
        </is>
      </c>
      <c r="C3" s="54" t="inlineStr">
        <is>
          <t>Owner/DM</t>
        </is>
      </c>
      <c r="D3" s="54" t="inlineStr">
        <is>
          <t>Phone</t>
        </is>
      </c>
      <c r="E3" s="54" t="inlineStr">
        <is>
          <t>Fit Score</t>
        </is>
      </c>
      <c r="F3" s="54" t="inlineStr">
        <is>
          <t>Fit Tier</t>
        </is>
      </c>
      <c r="G3" s="54" t="inlineStr">
        <is>
          <t>Open to Meeting?</t>
        </is>
      </c>
      <c r="H3" s="54" t="inlineStr">
        <is>
          <t>Follow-Up Action</t>
        </is>
      </c>
      <c r="I3" s="54" t="inlineStr">
        <is>
          <t>Last Call</t>
        </is>
      </c>
      <c r="J3" s="54" t="inlineStr">
        <is>
          <t>Callback Date</t>
        </is>
      </c>
      <c r="K3" s="54" t="inlineStr">
        <is>
          <t>Days Overdue</t>
        </is>
      </c>
    </row>
    <row r="4" ht="19.5" customHeight="1" s="105">
      <c r="A4" s="31">
        <f>ARRAYFORMULA(IF(ISNUMBER(J4:J203),IF(INT(J4:J203)&lt;TODAY(),"🚨 OVERDUE",IF(INT(J4:J203)&lt;=TODAY()+1,"🔔 DUE NOW","📋 UPCOMING")),""))</f>
        <v/>
      </c>
      <c r="B4" s="40">
        <f>IFERROR(QUERY('⚡ COMMAND TRACKER'!:04,"select A,E,B,Y,Z,U,X,AB,AE where AE is not null order by AE asc",0),"")</f>
        <v/>
      </c>
      <c r="C4" s="31" t="n"/>
      <c r="D4" s="64" t="n"/>
      <c r="E4" s="56" t="n"/>
      <c r="F4" s="31" t="n"/>
      <c r="G4" s="31" t="n"/>
      <c r="H4" s="40" t="n"/>
      <c r="I4" s="42" t="n"/>
      <c r="J4" s="38" t="n"/>
      <c r="K4" s="33">
        <f>IFERROR(IF(J4="","",TODAY()-INT(J4)),"")</f>
        <v/>
      </c>
    </row>
    <row r="5" ht="19.5" customHeight="1" s="105">
      <c r="A5" s="31" t="n"/>
      <c r="B5" s="40" t="n"/>
      <c r="C5" s="31" t="n"/>
      <c r="D5" s="64" t="n"/>
      <c r="E5" s="56" t="n"/>
      <c r="F5" s="31" t="n"/>
      <c r="G5" s="31" t="n"/>
      <c r="H5" s="40" t="n"/>
      <c r="I5" s="42" t="n"/>
      <c r="J5" s="38" t="n"/>
      <c r="K5" s="25">
        <f>IFERROR(IF(J5="","",TODAY()-INT(J5)),"")</f>
        <v/>
      </c>
    </row>
    <row r="6" ht="19.5" customHeight="1" s="105">
      <c r="A6" s="31" t="n"/>
      <c r="B6" s="40" t="n"/>
      <c r="C6" s="31" t="n"/>
      <c r="D6" s="64" t="n"/>
      <c r="E6" s="56" t="n"/>
      <c r="F6" s="31" t="n"/>
      <c r="G6" s="31" t="n"/>
      <c r="H6" s="40" t="n"/>
      <c r="I6" s="42" t="n"/>
      <c r="J6" s="38" t="n"/>
      <c r="K6" s="33">
        <f>IFERROR(IF(J6="","",TODAY()-INT(J6)),"")</f>
        <v/>
      </c>
    </row>
    <row r="7" ht="19.5" customHeight="1" s="105">
      <c r="A7" s="31" t="n"/>
      <c r="B7" s="40" t="n"/>
      <c r="C7" s="31" t="n"/>
      <c r="D7" s="64" t="n"/>
      <c r="E7" s="56" t="n"/>
      <c r="F7" s="31" t="n"/>
      <c r="G7" s="31" t="n"/>
      <c r="H7" s="40" t="n"/>
      <c r="I7" s="42" t="n"/>
      <c r="J7" s="38" t="n"/>
      <c r="K7" s="25">
        <f>IFERROR(IF(J7="","",TODAY()-INT(J7)),"")</f>
        <v/>
      </c>
    </row>
    <row r="8" ht="19.5" customHeight="1" s="105">
      <c r="A8" s="31" t="n"/>
      <c r="B8" s="40" t="n"/>
      <c r="C8" s="31" t="n"/>
      <c r="D8" s="64" t="n"/>
      <c r="E8" s="56" t="n"/>
      <c r="F8" s="31" t="n"/>
      <c r="G8" s="31" t="n"/>
      <c r="H8" s="40" t="n"/>
      <c r="I8" s="42" t="n"/>
      <c r="J8" s="38" t="n"/>
      <c r="K8" s="33">
        <f>IFERROR(IF(J8="","",TODAY()-INT(J8)),"")</f>
        <v/>
      </c>
    </row>
    <row r="9" ht="19.5" customHeight="1" s="105">
      <c r="A9" s="31" t="n"/>
      <c r="B9" s="40" t="n"/>
      <c r="C9" s="31" t="n"/>
      <c r="D9" s="64" t="n"/>
      <c r="E9" s="56" t="n"/>
      <c r="F9" s="31" t="n"/>
      <c r="G9" s="31" t="n"/>
      <c r="H9" s="40" t="n"/>
      <c r="I9" s="42" t="n"/>
      <c r="J9" s="38" t="n"/>
      <c r="K9" s="25">
        <f>IFERROR(IF(J9="","",TODAY()-INT(J9)),"")</f>
        <v/>
      </c>
    </row>
    <row r="10" ht="19.5" customHeight="1" s="105">
      <c r="A10" s="31" t="n"/>
      <c r="B10" s="40" t="n"/>
      <c r="C10" s="40" t="n"/>
      <c r="D10" s="65" t="n"/>
      <c r="E10" s="56" t="n"/>
      <c r="F10" s="31" t="n"/>
      <c r="G10" s="31" t="n"/>
      <c r="H10" s="40" t="n"/>
      <c r="I10" s="42" t="n"/>
      <c r="J10" s="42" t="n"/>
      <c r="K10" s="33">
        <f>IFERROR(IF(J10="","",TODAY()-INT(J10)),"")</f>
        <v/>
      </c>
    </row>
    <row r="11" ht="19.5" customHeight="1" s="105">
      <c r="A11" s="31" t="n"/>
      <c r="B11" s="40" t="n"/>
      <c r="C11" s="40" t="n"/>
      <c r="D11" s="65" t="n"/>
      <c r="E11" s="56" t="n"/>
      <c r="F11" s="31" t="n"/>
      <c r="G11" s="31" t="n"/>
      <c r="H11" s="40" t="n"/>
      <c r="I11" s="42" t="n"/>
      <c r="J11" s="42" t="n"/>
      <c r="K11" s="25">
        <f>IFERROR(IF(J11="","",TODAY()-INT(J11)),"")</f>
        <v/>
      </c>
    </row>
    <row r="12" ht="19.5" customHeight="1" s="105">
      <c r="A12" s="31" t="n"/>
      <c r="B12" s="40" t="n"/>
      <c r="C12" s="40" t="n"/>
      <c r="D12" s="65" t="n"/>
      <c r="E12" s="56" t="n"/>
      <c r="F12" s="31" t="n"/>
      <c r="G12" s="31" t="n"/>
      <c r="H12" s="40" t="n"/>
      <c r="I12" s="42" t="n"/>
      <c r="J12" s="42" t="n"/>
      <c r="K12" s="33">
        <f>IFERROR(IF(J12="","",TODAY()-INT(J12)),"")</f>
        <v/>
      </c>
    </row>
    <row r="13" ht="19.5" customHeight="1" s="105">
      <c r="A13" s="31" t="n"/>
      <c r="B13" s="40" t="n"/>
      <c r="C13" s="40" t="n"/>
      <c r="D13" s="65" t="n"/>
      <c r="E13" s="56" t="n"/>
      <c r="F13" s="31" t="n"/>
      <c r="G13" s="31" t="n"/>
      <c r="H13" s="40" t="n"/>
      <c r="I13" s="42" t="n"/>
      <c r="J13" s="42" t="n"/>
      <c r="K13" s="25">
        <f>IFERROR(IF(J13="","",TODAY()-INT(J13)),"")</f>
        <v/>
      </c>
    </row>
    <row r="14" ht="19.5" customHeight="1" s="105">
      <c r="A14" s="31" t="n"/>
      <c r="B14" s="40" t="n"/>
      <c r="C14" s="40" t="n"/>
      <c r="D14" s="65" t="n"/>
      <c r="E14" s="56" t="n"/>
      <c r="F14" s="31" t="n"/>
      <c r="G14" s="31" t="n"/>
      <c r="H14" s="40" t="n"/>
      <c r="I14" s="42" t="n"/>
      <c r="J14" s="42" t="n"/>
      <c r="K14" s="33">
        <f>IFERROR(IF(J14="","",TODAY()-INT(J14)),"")</f>
        <v/>
      </c>
    </row>
    <row r="15" ht="19.5" customHeight="1" s="105">
      <c r="A15" s="31" t="n"/>
      <c r="B15" s="40" t="n"/>
      <c r="C15" s="40" t="n"/>
      <c r="D15" s="65" t="n"/>
      <c r="E15" s="56" t="n"/>
      <c r="F15" s="31" t="n"/>
      <c r="G15" s="31" t="n"/>
      <c r="H15" s="40" t="n"/>
      <c r="I15" s="42" t="n"/>
      <c r="J15" s="42" t="n"/>
      <c r="K15" s="25">
        <f>IFERROR(IF(J15="","",TODAY()-INT(J15)),"")</f>
        <v/>
      </c>
    </row>
    <row r="16" ht="19.5" customHeight="1" s="105">
      <c r="A16" s="31" t="n"/>
      <c r="B16" s="40" t="n"/>
      <c r="C16" s="40" t="n"/>
      <c r="D16" s="65" t="n"/>
      <c r="E16" s="56" t="n"/>
      <c r="F16" s="31" t="n"/>
      <c r="G16" s="31" t="n"/>
      <c r="H16" s="40" t="n"/>
      <c r="I16" s="42" t="n"/>
      <c r="J16" s="42" t="n"/>
      <c r="K16" s="33">
        <f>IFERROR(IF(J16="","",TODAY()-INT(J16)),"")</f>
        <v/>
      </c>
    </row>
    <row r="17" ht="19.5" customHeight="1" s="105">
      <c r="A17" s="31" t="n"/>
      <c r="B17" s="40" t="n"/>
      <c r="C17" s="40" t="n"/>
      <c r="D17" s="65" t="n"/>
      <c r="E17" s="56" t="n"/>
      <c r="F17" s="31" t="n"/>
      <c r="G17" s="31" t="n"/>
      <c r="H17" s="40" t="n"/>
      <c r="I17" s="42" t="n"/>
      <c r="J17" s="42" t="n"/>
      <c r="K17" s="25">
        <f>IFERROR(IF(J17="","",TODAY()-INT(J17)),"")</f>
        <v/>
      </c>
    </row>
    <row r="18" ht="19.5" customHeight="1" s="105">
      <c r="A18" s="31" t="n"/>
      <c r="B18" s="40" t="n"/>
      <c r="C18" s="40" t="n"/>
      <c r="D18" s="65" t="n"/>
      <c r="E18" s="56" t="n"/>
      <c r="F18" s="31" t="n"/>
      <c r="G18" s="31" t="n"/>
      <c r="H18" s="40" t="n"/>
      <c r="I18" s="42" t="n"/>
      <c r="J18" s="42" t="n"/>
      <c r="K18" s="33">
        <f>IFERROR(IF(J18="","",TODAY()-INT(J18)),"")</f>
        <v/>
      </c>
    </row>
    <row r="19" ht="19.5" customHeight="1" s="105">
      <c r="A19" s="31" t="n"/>
      <c r="B19" s="40" t="n"/>
      <c r="C19" s="40" t="n"/>
      <c r="D19" s="65" t="n"/>
      <c r="E19" s="56" t="n"/>
      <c r="F19" s="31" t="n"/>
      <c r="G19" s="31" t="n"/>
      <c r="H19" s="40" t="n"/>
      <c r="I19" s="42" t="n"/>
      <c r="J19" s="42" t="n"/>
      <c r="K19" s="25">
        <f>IFERROR(IF(J19="","",TODAY()-INT(J19)),"")</f>
        <v/>
      </c>
    </row>
    <row r="20" ht="19.5" customHeight="1" s="105">
      <c r="A20" s="31" t="n"/>
      <c r="B20" s="40" t="n"/>
      <c r="C20" s="40" t="n"/>
      <c r="D20" s="65" t="n"/>
      <c r="E20" s="56" t="n"/>
      <c r="F20" s="31" t="n"/>
      <c r="G20" s="31" t="n"/>
      <c r="H20" s="40" t="n"/>
      <c r="I20" s="42" t="n"/>
      <c r="J20" s="42" t="n"/>
      <c r="K20" s="33">
        <f>IFERROR(IF(J20="","",TODAY()-INT(J20)),"")</f>
        <v/>
      </c>
    </row>
    <row r="21" ht="19.5" customHeight="1" s="105">
      <c r="A21" s="31" t="n"/>
      <c r="B21" s="40" t="n"/>
      <c r="C21" s="40" t="n"/>
      <c r="D21" s="65" t="n"/>
      <c r="E21" s="56" t="n"/>
      <c r="F21" s="31" t="n"/>
      <c r="G21" s="31" t="n"/>
      <c r="H21" s="40" t="n"/>
      <c r="I21" s="42" t="n"/>
      <c r="J21" s="42" t="n"/>
      <c r="K21" s="25">
        <f>IFERROR(IF(J21="","",TODAY()-INT(J21)),"")</f>
        <v/>
      </c>
    </row>
    <row r="22" ht="19.5" customHeight="1" s="105">
      <c r="A22" s="31" t="n"/>
      <c r="B22" s="40" t="n"/>
      <c r="C22" s="40" t="n"/>
      <c r="D22" s="65" t="n"/>
      <c r="E22" s="56" t="n"/>
      <c r="F22" s="31" t="n"/>
      <c r="G22" s="31" t="n"/>
      <c r="H22" s="40" t="n"/>
      <c r="I22" s="42" t="n"/>
      <c r="J22" s="42" t="n"/>
      <c r="K22" s="33">
        <f>IFERROR(IF(J22="","",TODAY()-INT(J22)),"")</f>
        <v/>
      </c>
    </row>
    <row r="23" ht="19.5" customHeight="1" s="105">
      <c r="A23" s="31" t="n"/>
      <c r="B23" s="40" t="n"/>
      <c r="C23" s="40" t="n"/>
      <c r="D23" s="65" t="n"/>
      <c r="E23" s="56" t="n"/>
      <c r="F23" s="31" t="n"/>
      <c r="G23" s="31" t="n"/>
      <c r="H23" s="40" t="n"/>
      <c r="I23" s="42" t="n"/>
      <c r="J23" s="42" t="n"/>
      <c r="K23" s="25">
        <f>IFERROR(IF(J23="","",TODAY()-INT(J23)),"")</f>
        <v/>
      </c>
    </row>
    <row r="24" ht="19.5" customHeight="1" s="105">
      <c r="A24" s="31" t="n"/>
      <c r="B24" s="40" t="n"/>
      <c r="C24" s="40" t="n"/>
      <c r="D24" s="65" t="n"/>
      <c r="E24" s="56" t="n"/>
      <c r="F24" s="31" t="n"/>
      <c r="G24" s="31" t="n"/>
      <c r="H24" s="40" t="n"/>
      <c r="I24" s="42" t="n"/>
      <c r="J24" s="42" t="n"/>
      <c r="K24" s="33">
        <f>IFERROR(IF(J24="","",TODAY()-INT(J24)),"")</f>
        <v/>
      </c>
    </row>
    <row r="25" ht="19.5" customHeight="1" s="105">
      <c r="A25" s="31" t="n"/>
      <c r="B25" s="40" t="n"/>
      <c r="C25" s="40" t="n"/>
      <c r="D25" s="65" t="n"/>
      <c r="E25" s="56" t="n"/>
      <c r="F25" s="31" t="n"/>
      <c r="G25" s="31" t="n"/>
      <c r="H25" s="40" t="n"/>
      <c r="I25" s="42" t="n"/>
      <c r="J25" s="42" t="n"/>
      <c r="K25" s="25">
        <f>IFERROR(IF(J25="","",TODAY()-INT(J25)),"")</f>
        <v/>
      </c>
    </row>
    <row r="26" ht="19.5" customHeight="1" s="105">
      <c r="A26" s="31" t="n"/>
      <c r="B26" s="40" t="n"/>
      <c r="C26" s="40" t="n"/>
      <c r="D26" s="65" t="n"/>
      <c r="E26" s="56" t="n"/>
      <c r="F26" s="31" t="n"/>
      <c r="G26" s="31" t="n"/>
      <c r="H26" s="40" t="n"/>
      <c r="I26" s="42" t="n"/>
      <c r="J26" s="42" t="n"/>
      <c r="K26" s="33">
        <f>IFERROR(IF(J26="","",TODAY()-INT(J26)),"")</f>
        <v/>
      </c>
    </row>
    <row r="27" ht="19.5" customHeight="1" s="105">
      <c r="A27" s="31" t="n"/>
      <c r="B27" s="40" t="n"/>
      <c r="C27" s="40" t="n"/>
      <c r="D27" s="65" t="n"/>
      <c r="E27" s="56" t="n"/>
      <c r="F27" s="31" t="n"/>
      <c r="G27" s="31" t="n"/>
      <c r="H27" s="40" t="n"/>
      <c r="I27" s="42" t="n"/>
      <c r="J27" s="42" t="n"/>
      <c r="K27" s="25">
        <f>IFERROR(IF(J27="","",TODAY()-INT(J27)),"")</f>
        <v/>
      </c>
    </row>
    <row r="28" ht="19.5" customHeight="1" s="105">
      <c r="A28" s="31" t="n"/>
      <c r="B28" s="40" t="n"/>
      <c r="C28" s="40" t="n"/>
      <c r="D28" s="65" t="n"/>
      <c r="E28" s="56" t="n"/>
      <c r="F28" s="31" t="n"/>
      <c r="G28" s="31" t="n"/>
      <c r="H28" s="40" t="n"/>
      <c r="I28" s="42" t="n"/>
      <c r="J28" s="42" t="n"/>
      <c r="K28" s="33">
        <f>IFERROR(IF(J28="","",TODAY()-INT(J28)),"")</f>
        <v/>
      </c>
    </row>
    <row r="29" ht="19.5" customHeight="1" s="105">
      <c r="A29" s="31" t="n"/>
      <c r="B29" s="40" t="n"/>
      <c r="C29" s="40" t="n"/>
      <c r="D29" s="65" t="n"/>
      <c r="E29" s="56" t="n"/>
      <c r="F29" s="31" t="n"/>
      <c r="G29" s="31" t="n"/>
      <c r="H29" s="40" t="n"/>
      <c r="I29" s="42" t="n"/>
      <c r="J29" s="42" t="n"/>
      <c r="K29" s="25">
        <f>IFERROR(IF(J29="","",TODAY()-INT(J29)),"")</f>
        <v/>
      </c>
    </row>
    <row r="30" ht="19.5" customHeight="1" s="105">
      <c r="A30" s="31" t="n"/>
      <c r="B30" s="40" t="n"/>
      <c r="C30" s="40" t="n"/>
      <c r="D30" s="65" t="n"/>
      <c r="E30" s="56" t="n"/>
      <c r="F30" s="31" t="n"/>
      <c r="G30" s="31" t="n"/>
      <c r="H30" s="40" t="n"/>
      <c r="I30" s="42" t="n"/>
      <c r="J30" s="42" t="n"/>
      <c r="K30" s="33">
        <f>IFERROR(IF(J30="","",TODAY()-INT(J30)),"")</f>
        <v/>
      </c>
    </row>
    <row r="31" ht="19.5" customHeight="1" s="105">
      <c r="A31" s="31" t="n"/>
      <c r="B31" s="40" t="n"/>
      <c r="C31" s="40" t="n"/>
      <c r="D31" s="65" t="n"/>
      <c r="E31" s="56" t="n"/>
      <c r="F31" s="31" t="n"/>
      <c r="G31" s="31" t="n"/>
      <c r="H31" s="40" t="n"/>
      <c r="I31" s="42" t="n"/>
      <c r="J31" s="42" t="n"/>
      <c r="K31" s="25">
        <f>IFERROR(IF(J31="","",TODAY()-INT(J31)),"")</f>
        <v/>
      </c>
    </row>
    <row r="32" ht="19.5" customHeight="1" s="105">
      <c r="A32" s="31" t="n"/>
      <c r="B32" s="40" t="n"/>
      <c r="C32" s="40" t="n"/>
      <c r="D32" s="65" t="n"/>
      <c r="E32" s="56" t="n"/>
      <c r="F32" s="31" t="n"/>
      <c r="G32" s="31" t="n"/>
      <c r="H32" s="40" t="n"/>
      <c r="I32" s="42" t="n"/>
      <c r="J32" s="42" t="n"/>
      <c r="K32" s="33">
        <f>IFERROR(IF(J32="","",TODAY()-INT(J32)),"")</f>
        <v/>
      </c>
    </row>
    <row r="33" ht="19.5" customHeight="1" s="105">
      <c r="A33" s="31" t="n"/>
      <c r="B33" s="40" t="n"/>
      <c r="C33" s="40" t="n"/>
      <c r="D33" s="65" t="n"/>
      <c r="E33" s="56" t="n"/>
      <c r="F33" s="31" t="n"/>
      <c r="G33" s="31" t="n"/>
      <c r="H33" s="40" t="n"/>
      <c r="I33" s="42" t="n"/>
      <c r="J33" s="42" t="n"/>
      <c r="K33" s="25">
        <f>IFERROR(IF(J33="","",TODAY()-INT(J33)),"")</f>
        <v/>
      </c>
    </row>
    <row r="34" ht="19.5" customHeight="1" s="105">
      <c r="A34" s="31" t="n"/>
      <c r="B34" s="40" t="n"/>
      <c r="C34" s="40" t="n"/>
      <c r="D34" s="65" t="n"/>
      <c r="E34" s="56" t="n"/>
      <c r="F34" s="31" t="n"/>
      <c r="G34" s="31" t="n"/>
      <c r="H34" s="40" t="n"/>
      <c r="I34" s="42" t="n"/>
      <c r="J34" s="42" t="n"/>
      <c r="K34" s="33">
        <f>IFERROR(IF(J34="","",TODAY()-INT(J34)),"")</f>
        <v/>
      </c>
    </row>
    <row r="35" ht="19.5" customHeight="1" s="105">
      <c r="A35" s="31" t="n"/>
      <c r="B35" s="40" t="n"/>
      <c r="C35" s="40" t="n"/>
      <c r="D35" s="65" t="n"/>
      <c r="E35" s="56" t="n"/>
      <c r="F35" s="31" t="n"/>
      <c r="G35" s="31" t="n"/>
      <c r="H35" s="40" t="n"/>
      <c r="I35" s="42" t="n"/>
      <c r="J35" s="42" t="n"/>
      <c r="K35" s="25">
        <f>IFERROR(IF(J35="","",TODAY()-INT(J35)),"")</f>
        <v/>
      </c>
    </row>
    <row r="36" ht="19.5" customHeight="1" s="105">
      <c r="A36" s="31" t="n"/>
      <c r="B36" s="40" t="n"/>
      <c r="C36" s="40" t="n"/>
      <c r="D36" s="65" t="n"/>
      <c r="E36" s="56" t="n"/>
      <c r="F36" s="31" t="n"/>
      <c r="G36" s="31" t="n"/>
      <c r="H36" s="40" t="n"/>
      <c r="I36" s="42" t="n"/>
      <c r="J36" s="42" t="n"/>
      <c r="K36" s="33">
        <f>IFERROR(IF(J36="","",TODAY()-INT(J36)),"")</f>
        <v/>
      </c>
    </row>
    <row r="37" ht="19.5" customHeight="1" s="105">
      <c r="A37" s="31" t="n"/>
      <c r="B37" s="40" t="n"/>
      <c r="C37" s="40" t="n"/>
      <c r="D37" s="65" t="n"/>
      <c r="E37" s="56" t="n"/>
      <c r="F37" s="31" t="n"/>
      <c r="G37" s="31" t="n"/>
      <c r="H37" s="40" t="n"/>
      <c r="I37" s="42" t="n"/>
      <c r="J37" s="42" t="n"/>
      <c r="K37" s="25">
        <f>IFERROR(IF(J37="","",TODAY()-INT(J37)),"")</f>
        <v/>
      </c>
    </row>
    <row r="38" ht="19.5" customHeight="1" s="105">
      <c r="A38" s="31" t="n"/>
      <c r="B38" s="40" t="n"/>
      <c r="C38" s="40" t="n"/>
      <c r="D38" s="65" t="n"/>
      <c r="E38" s="56" t="n"/>
      <c r="F38" s="31" t="n"/>
      <c r="G38" s="31" t="n"/>
      <c r="H38" s="40" t="n"/>
      <c r="I38" s="42" t="n"/>
      <c r="J38" s="42" t="n"/>
      <c r="K38" s="33">
        <f>IFERROR(IF(J38="","",TODAY()-INT(J38)),"")</f>
        <v/>
      </c>
    </row>
    <row r="39" ht="19.5" customHeight="1" s="105">
      <c r="A39" s="31" t="n"/>
      <c r="B39" s="40" t="n"/>
      <c r="C39" s="40" t="n"/>
      <c r="D39" s="65" t="n"/>
      <c r="E39" s="56" t="n"/>
      <c r="F39" s="31" t="n"/>
      <c r="G39" s="31" t="n"/>
      <c r="H39" s="40" t="n"/>
      <c r="I39" s="42" t="n"/>
      <c r="J39" s="42" t="n"/>
      <c r="K39" s="25">
        <f>IFERROR(IF(J39="","",TODAY()-INT(J39)),"")</f>
        <v/>
      </c>
    </row>
    <row r="40" ht="19.5" customHeight="1" s="105">
      <c r="A40" s="31" t="n"/>
      <c r="B40" s="40" t="n"/>
      <c r="C40" s="40" t="n"/>
      <c r="D40" s="65" t="n"/>
      <c r="E40" s="56" t="n"/>
      <c r="F40" s="31" t="n"/>
      <c r="G40" s="31" t="n"/>
      <c r="H40" s="40" t="n"/>
      <c r="I40" s="42" t="n"/>
      <c r="J40" s="42" t="n"/>
      <c r="K40" s="33">
        <f>IFERROR(IF(J40="","",TODAY()-INT(J40)),"")</f>
        <v/>
      </c>
    </row>
    <row r="41" ht="19.5" customHeight="1" s="105">
      <c r="A41" s="31" t="n"/>
      <c r="B41" s="40" t="n"/>
      <c r="C41" s="40" t="n"/>
      <c r="D41" s="65" t="n"/>
      <c r="E41" s="56" t="n"/>
      <c r="F41" s="31" t="n"/>
      <c r="G41" s="31" t="n"/>
      <c r="H41" s="40" t="n"/>
      <c r="I41" s="42" t="n"/>
      <c r="J41" s="42" t="n"/>
      <c r="K41" s="25">
        <f>IFERROR(IF(J41="","",TODAY()-INT(J41)),"")</f>
        <v/>
      </c>
    </row>
    <row r="42" ht="19.5" customHeight="1" s="105">
      <c r="A42" s="31" t="n"/>
      <c r="B42" s="40" t="n"/>
      <c r="C42" s="40" t="n"/>
      <c r="D42" s="65" t="n"/>
      <c r="E42" s="56" t="n"/>
      <c r="F42" s="31" t="n"/>
      <c r="G42" s="31" t="n"/>
      <c r="H42" s="40" t="n"/>
      <c r="I42" s="42" t="n"/>
      <c r="J42" s="42" t="n"/>
      <c r="K42" s="33">
        <f>IFERROR(IF(J42="","",TODAY()-INT(J42)),"")</f>
        <v/>
      </c>
    </row>
    <row r="43" ht="19.5" customHeight="1" s="105">
      <c r="A43" s="31" t="n"/>
      <c r="B43" s="40" t="n"/>
      <c r="C43" s="40" t="n"/>
      <c r="D43" s="65" t="n"/>
      <c r="E43" s="56" t="n"/>
      <c r="F43" s="31" t="n"/>
      <c r="G43" s="31" t="n"/>
      <c r="H43" s="40" t="n"/>
      <c r="I43" s="42" t="n"/>
      <c r="J43" s="42" t="n"/>
      <c r="K43" s="25">
        <f>IFERROR(IF(J43="","",TODAY()-INT(J43)),"")</f>
        <v/>
      </c>
    </row>
    <row r="44" ht="19.5" customHeight="1" s="105">
      <c r="A44" s="31" t="n"/>
      <c r="B44" s="40" t="n"/>
      <c r="C44" s="40" t="n"/>
      <c r="D44" s="65" t="n"/>
      <c r="E44" s="56" t="n"/>
      <c r="F44" s="31" t="n"/>
      <c r="G44" s="31" t="n"/>
      <c r="H44" s="40" t="n"/>
      <c r="I44" s="42" t="n"/>
      <c r="J44" s="42" t="n"/>
      <c r="K44" s="33">
        <f>IFERROR(IF(J44="","",TODAY()-INT(J44)),"")</f>
        <v/>
      </c>
    </row>
    <row r="45" ht="19.5" customHeight="1" s="105">
      <c r="A45" s="31" t="n"/>
      <c r="B45" s="40" t="n"/>
      <c r="C45" s="40" t="n"/>
      <c r="D45" s="65" t="n"/>
      <c r="E45" s="56" t="n"/>
      <c r="F45" s="31" t="n"/>
      <c r="G45" s="31" t="n"/>
      <c r="H45" s="40" t="n"/>
      <c r="I45" s="42" t="n"/>
      <c r="J45" s="42" t="n"/>
      <c r="K45" s="25">
        <f>IFERROR(IF(J45="","",TODAY()-INT(J45)),"")</f>
        <v/>
      </c>
    </row>
    <row r="46" ht="19.5" customHeight="1" s="105">
      <c r="A46" s="31" t="n"/>
      <c r="B46" s="40" t="n"/>
      <c r="C46" s="40" t="n"/>
      <c r="D46" s="65" t="n"/>
      <c r="E46" s="56" t="n"/>
      <c r="F46" s="31" t="n"/>
      <c r="G46" s="31" t="n"/>
      <c r="H46" s="40" t="n"/>
      <c r="I46" s="42" t="n"/>
      <c r="J46" s="42" t="n"/>
      <c r="K46" s="33">
        <f>IFERROR(IF(J46="","",TODAY()-INT(J46)),"")</f>
        <v/>
      </c>
    </row>
    <row r="47" ht="19.5" customHeight="1" s="105">
      <c r="A47" s="31" t="n"/>
      <c r="B47" s="40" t="n"/>
      <c r="C47" s="40" t="n"/>
      <c r="D47" s="65" t="n"/>
      <c r="E47" s="56" t="n"/>
      <c r="F47" s="31" t="n"/>
      <c r="G47" s="31" t="n"/>
      <c r="H47" s="40" t="n"/>
      <c r="I47" s="42" t="n"/>
      <c r="J47" s="42" t="n"/>
      <c r="K47" s="25">
        <f>IFERROR(IF(J47="","",TODAY()-INT(J47)),"")</f>
        <v/>
      </c>
    </row>
    <row r="48" ht="19.5" customHeight="1" s="105">
      <c r="A48" s="31" t="n"/>
      <c r="B48" s="40" t="n"/>
      <c r="C48" s="40" t="n"/>
      <c r="D48" s="65" t="n"/>
      <c r="E48" s="56" t="n"/>
      <c r="F48" s="31" t="n"/>
      <c r="G48" s="31" t="n"/>
      <c r="H48" s="40" t="n"/>
      <c r="I48" s="42" t="n"/>
      <c r="J48" s="42" t="n"/>
      <c r="K48" s="33">
        <f>IFERROR(IF(J48="","",TODAY()-INT(J48)),"")</f>
        <v/>
      </c>
    </row>
    <row r="49" ht="19.5" customHeight="1" s="105">
      <c r="A49" s="31" t="n"/>
      <c r="B49" s="40" t="n"/>
      <c r="C49" s="40" t="n"/>
      <c r="D49" s="65" t="n"/>
      <c r="E49" s="56" t="n"/>
      <c r="F49" s="31" t="n"/>
      <c r="G49" s="31" t="n"/>
      <c r="H49" s="40" t="n"/>
      <c r="I49" s="42" t="n"/>
      <c r="J49" s="42" t="n"/>
      <c r="K49" s="25">
        <f>IFERROR(IF(J49="","",TODAY()-INT(J49)),"")</f>
        <v/>
      </c>
    </row>
    <row r="50" ht="19.5" customHeight="1" s="105">
      <c r="A50" s="31" t="n"/>
      <c r="B50" s="40" t="n"/>
      <c r="C50" s="40" t="n"/>
      <c r="D50" s="65" t="n"/>
      <c r="E50" s="56" t="n"/>
      <c r="F50" s="31" t="n"/>
      <c r="G50" s="31" t="n"/>
      <c r="H50" s="40" t="n"/>
      <c r="I50" s="42" t="n"/>
      <c r="J50" s="42" t="n"/>
      <c r="K50" s="33">
        <f>IFERROR(IF(J50="","",TODAY()-INT(J50)),"")</f>
        <v/>
      </c>
    </row>
    <row r="51" ht="19.5" customHeight="1" s="105">
      <c r="A51" s="31" t="n"/>
      <c r="B51" s="40" t="n"/>
      <c r="C51" s="40" t="n"/>
      <c r="D51" s="65" t="n"/>
      <c r="E51" s="56" t="n"/>
      <c r="F51" s="31" t="n"/>
      <c r="G51" s="31" t="n"/>
      <c r="H51" s="40" t="n"/>
      <c r="I51" s="42" t="n"/>
      <c r="J51" s="42" t="n"/>
      <c r="K51" s="25">
        <f>IFERROR(IF(J51="","",TODAY()-INT(J51)),"")</f>
        <v/>
      </c>
    </row>
    <row r="52" ht="19.5" customHeight="1" s="105">
      <c r="A52" s="31" t="n"/>
      <c r="B52" s="40" t="n"/>
      <c r="C52" s="40" t="n"/>
      <c r="D52" s="65" t="n"/>
      <c r="E52" s="56" t="n"/>
      <c r="F52" s="31" t="n"/>
      <c r="G52" s="31" t="n"/>
      <c r="H52" s="40" t="n"/>
      <c r="I52" s="42" t="n"/>
      <c r="J52" s="42" t="n"/>
      <c r="K52" s="33">
        <f>IFERROR(IF(J52="","",TODAY()-INT(J52)),"")</f>
        <v/>
      </c>
    </row>
    <row r="53" ht="19.5" customHeight="1" s="105">
      <c r="A53" s="31" t="n"/>
      <c r="B53" s="40" t="n"/>
      <c r="C53" s="40" t="n"/>
      <c r="D53" s="65" t="n"/>
      <c r="E53" s="56" t="n"/>
      <c r="F53" s="31" t="n"/>
      <c r="G53" s="31" t="n"/>
      <c r="H53" s="40" t="n"/>
      <c r="I53" s="42" t="n"/>
      <c r="J53" s="42" t="n"/>
      <c r="K53" s="25">
        <f>IFERROR(IF(J53="","",TODAY()-INT(J53)),"")</f>
        <v/>
      </c>
    </row>
    <row r="54" ht="19.5" customHeight="1" s="105">
      <c r="A54" s="31" t="n"/>
      <c r="B54" s="40" t="n"/>
      <c r="C54" s="40" t="n"/>
      <c r="D54" s="65" t="n"/>
      <c r="E54" s="56" t="n"/>
      <c r="F54" s="31" t="n"/>
      <c r="G54" s="31" t="n"/>
      <c r="H54" s="40" t="n"/>
      <c r="I54" s="42" t="n"/>
      <c r="J54" s="42" t="n"/>
      <c r="K54" s="33">
        <f>IFERROR(IF(J54="","",TODAY()-INT(J54)),"")</f>
        <v/>
      </c>
    </row>
    <row r="55" ht="19.5" customHeight="1" s="105">
      <c r="A55" s="31" t="n"/>
      <c r="B55" s="40" t="n"/>
      <c r="C55" s="40" t="n"/>
      <c r="D55" s="65" t="n"/>
      <c r="E55" s="56" t="n"/>
      <c r="F55" s="31" t="n"/>
      <c r="G55" s="31" t="n"/>
      <c r="H55" s="40" t="n"/>
      <c r="I55" s="42" t="n"/>
      <c r="J55" s="42" t="n"/>
      <c r="K55" s="25">
        <f>IFERROR(IF(J55="","",TODAY()-INT(J55)),"")</f>
        <v/>
      </c>
    </row>
    <row r="56" ht="19.5" customHeight="1" s="105">
      <c r="A56" s="31" t="n"/>
      <c r="B56" s="40" t="n"/>
      <c r="C56" s="40" t="n"/>
      <c r="D56" s="65" t="n"/>
      <c r="E56" s="56" t="n"/>
      <c r="F56" s="31" t="n"/>
      <c r="G56" s="31" t="n"/>
      <c r="H56" s="40" t="n"/>
      <c r="I56" s="42" t="n"/>
      <c r="J56" s="42" t="n"/>
      <c r="K56" s="33">
        <f>IFERROR(IF(J56="","",TODAY()-INT(J56)),"")</f>
        <v/>
      </c>
    </row>
    <row r="57" ht="19.5" customHeight="1" s="105">
      <c r="A57" s="31" t="n"/>
      <c r="B57" s="40" t="n"/>
      <c r="C57" s="40" t="n"/>
      <c r="D57" s="65" t="n"/>
      <c r="E57" s="56" t="n"/>
      <c r="F57" s="31" t="n"/>
      <c r="G57" s="31" t="n"/>
      <c r="H57" s="40" t="n"/>
      <c r="I57" s="42" t="n"/>
      <c r="J57" s="42" t="n"/>
      <c r="K57" s="25">
        <f>IFERROR(IF(J57="","",TODAY()-INT(J57)),"")</f>
        <v/>
      </c>
    </row>
    <row r="58" ht="19.5" customHeight="1" s="105">
      <c r="A58" s="31" t="n"/>
      <c r="B58" s="40" t="n"/>
      <c r="C58" s="40" t="n"/>
      <c r="D58" s="65" t="n"/>
      <c r="E58" s="56" t="n"/>
      <c r="F58" s="31" t="n"/>
      <c r="G58" s="31" t="n"/>
      <c r="H58" s="40" t="n"/>
      <c r="I58" s="42" t="n"/>
      <c r="J58" s="42" t="n"/>
      <c r="K58" s="33">
        <f>IFERROR(IF(J58="","",TODAY()-INT(J58)),"")</f>
        <v/>
      </c>
    </row>
    <row r="59" ht="19.5" customHeight="1" s="105">
      <c r="A59" s="31" t="n"/>
      <c r="B59" s="40" t="n"/>
      <c r="C59" s="40" t="n"/>
      <c r="D59" s="65" t="n"/>
      <c r="E59" s="56" t="n"/>
      <c r="F59" s="31" t="n"/>
      <c r="G59" s="31" t="n"/>
      <c r="H59" s="40" t="n"/>
      <c r="I59" s="42" t="n"/>
      <c r="J59" s="42" t="n"/>
      <c r="K59" s="25">
        <f>IFERROR(IF(J59="","",TODAY()-INT(J59)),"")</f>
        <v/>
      </c>
    </row>
    <row r="60" ht="19.5" customHeight="1" s="105">
      <c r="A60" s="31" t="n"/>
      <c r="B60" s="40" t="n"/>
      <c r="C60" s="40" t="n"/>
      <c r="D60" s="65" t="n"/>
      <c r="E60" s="56" t="n"/>
      <c r="F60" s="31" t="n"/>
      <c r="G60" s="31" t="n"/>
      <c r="H60" s="40" t="n"/>
      <c r="I60" s="42" t="n"/>
      <c r="J60" s="42" t="n"/>
      <c r="K60" s="33">
        <f>IFERROR(IF(J60="","",TODAY()-INT(J60)),"")</f>
        <v/>
      </c>
    </row>
    <row r="61" ht="19.5" customHeight="1" s="105">
      <c r="A61" s="31" t="n"/>
      <c r="B61" s="40" t="n"/>
      <c r="C61" s="40" t="n"/>
      <c r="D61" s="65" t="n"/>
      <c r="E61" s="56" t="n"/>
      <c r="F61" s="31" t="n"/>
      <c r="G61" s="31" t="n"/>
      <c r="H61" s="40" t="n"/>
      <c r="I61" s="42" t="n"/>
      <c r="J61" s="42" t="n"/>
      <c r="K61" s="25">
        <f>IFERROR(IF(J61="","",TODAY()-INT(J61)),"")</f>
        <v/>
      </c>
    </row>
    <row r="62" ht="19.5" customHeight="1" s="105">
      <c r="A62" s="31" t="n"/>
      <c r="B62" s="40" t="n"/>
      <c r="C62" s="40" t="n"/>
      <c r="D62" s="65" t="n"/>
      <c r="E62" s="56" t="n"/>
      <c r="F62" s="31" t="n"/>
      <c r="G62" s="31" t="n"/>
      <c r="H62" s="40" t="n"/>
      <c r="I62" s="42" t="n"/>
      <c r="J62" s="42" t="n"/>
      <c r="K62" s="33">
        <f>IFERROR(IF(J62="","",TODAY()-INT(J62)),"")</f>
        <v/>
      </c>
    </row>
    <row r="63" ht="19.5" customHeight="1" s="105">
      <c r="A63" s="31" t="n"/>
      <c r="B63" s="40" t="n"/>
      <c r="C63" s="40" t="n"/>
      <c r="D63" s="65" t="n"/>
      <c r="E63" s="56" t="n"/>
      <c r="F63" s="31" t="n"/>
      <c r="G63" s="31" t="n"/>
      <c r="H63" s="40" t="n"/>
      <c r="I63" s="42" t="n"/>
      <c r="J63" s="42" t="n"/>
      <c r="K63" s="25">
        <f>IFERROR(IF(J63="","",TODAY()-INT(J63)),"")</f>
        <v/>
      </c>
    </row>
    <row r="64" ht="19.5" customHeight="1" s="105">
      <c r="A64" s="31" t="n"/>
      <c r="B64" s="40" t="n"/>
      <c r="C64" s="40" t="n"/>
      <c r="D64" s="65" t="n"/>
      <c r="E64" s="56" t="n"/>
      <c r="F64" s="31" t="n"/>
      <c r="G64" s="31" t="n"/>
      <c r="H64" s="40" t="n"/>
      <c r="I64" s="42" t="n"/>
      <c r="J64" s="42" t="n"/>
      <c r="K64" s="33">
        <f>IFERROR(IF(J64="","",TODAY()-INT(J64)),"")</f>
        <v/>
      </c>
    </row>
    <row r="65" ht="19.5" customHeight="1" s="105">
      <c r="A65" s="31" t="n"/>
      <c r="B65" s="40" t="n"/>
      <c r="C65" s="40" t="n"/>
      <c r="D65" s="65" t="n"/>
      <c r="E65" s="56" t="n"/>
      <c r="F65" s="31" t="n"/>
      <c r="G65" s="31" t="n"/>
      <c r="H65" s="40" t="n"/>
      <c r="I65" s="42" t="n"/>
      <c r="J65" s="42" t="n"/>
      <c r="K65" s="25">
        <f>IFERROR(IF(J65="","",TODAY()-INT(J65)),"")</f>
        <v/>
      </c>
    </row>
    <row r="66" ht="19.5" customHeight="1" s="105">
      <c r="A66" s="31" t="n"/>
      <c r="B66" s="40" t="n"/>
      <c r="C66" s="40" t="n"/>
      <c r="D66" s="65" t="n"/>
      <c r="E66" s="56" t="n"/>
      <c r="F66" s="31" t="n"/>
      <c r="G66" s="31" t="n"/>
      <c r="H66" s="40" t="n"/>
      <c r="I66" s="42" t="n"/>
      <c r="J66" s="42" t="n"/>
      <c r="K66" s="33">
        <f>IFERROR(IF(J66="","",TODAY()-INT(J66)),"")</f>
        <v/>
      </c>
    </row>
    <row r="67" ht="19.5" customHeight="1" s="105">
      <c r="A67" s="31" t="n"/>
      <c r="B67" s="40" t="n"/>
      <c r="C67" s="40" t="n"/>
      <c r="D67" s="65" t="n"/>
      <c r="E67" s="56" t="n"/>
      <c r="F67" s="31" t="n"/>
      <c r="G67" s="31" t="n"/>
      <c r="H67" s="40" t="n"/>
      <c r="I67" s="42" t="n"/>
      <c r="J67" s="42" t="n"/>
      <c r="K67" s="25">
        <f>IFERROR(IF(J67="","",TODAY()-INT(J67)),"")</f>
        <v/>
      </c>
    </row>
    <row r="68" ht="19.5" customHeight="1" s="105">
      <c r="A68" s="31" t="n"/>
      <c r="B68" s="40" t="n"/>
      <c r="C68" s="40" t="n"/>
      <c r="D68" s="65" t="n"/>
      <c r="E68" s="56" t="n"/>
      <c r="F68" s="31" t="n"/>
      <c r="G68" s="31" t="n"/>
      <c r="H68" s="40" t="n"/>
      <c r="I68" s="42" t="n"/>
      <c r="J68" s="42" t="n"/>
      <c r="K68" s="33">
        <f>IFERROR(IF(J68="","",TODAY()-INT(J68)),"")</f>
        <v/>
      </c>
    </row>
    <row r="69" ht="19.5" customHeight="1" s="105">
      <c r="A69" s="31" t="n"/>
      <c r="B69" s="40" t="n"/>
      <c r="C69" s="40" t="n"/>
      <c r="D69" s="65" t="n"/>
      <c r="E69" s="56" t="n"/>
      <c r="F69" s="31" t="n"/>
      <c r="G69" s="31" t="n"/>
      <c r="H69" s="40" t="n"/>
      <c r="I69" s="42" t="n"/>
      <c r="J69" s="42" t="n"/>
      <c r="K69" s="25">
        <f>IFERROR(IF(J69="","",TODAY()-INT(J69)),"")</f>
        <v/>
      </c>
    </row>
    <row r="70" ht="19.5" customHeight="1" s="105">
      <c r="A70" s="31" t="n"/>
      <c r="B70" s="40" t="n"/>
      <c r="C70" s="40" t="n"/>
      <c r="D70" s="65" t="n"/>
      <c r="E70" s="56" t="n"/>
      <c r="F70" s="31" t="n"/>
      <c r="G70" s="31" t="n"/>
      <c r="H70" s="40" t="n"/>
      <c r="I70" s="42" t="n"/>
      <c r="J70" s="42" t="n"/>
      <c r="K70" s="33">
        <f>IFERROR(IF(J70="","",TODAY()-INT(J70)),"")</f>
        <v/>
      </c>
    </row>
    <row r="71" ht="19.5" customHeight="1" s="105">
      <c r="A71" s="31" t="n"/>
      <c r="B71" s="40" t="n"/>
      <c r="C71" s="40" t="n"/>
      <c r="D71" s="65" t="n"/>
      <c r="E71" s="56" t="n"/>
      <c r="F71" s="31" t="n"/>
      <c r="G71" s="31" t="n"/>
      <c r="H71" s="40" t="n"/>
      <c r="I71" s="42" t="n"/>
      <c r="J71" s="42" t="n"/>
      <c r="K71" s="25">
        <f>IFERROR(IF(J71="","",TODAY()-INT(J71)),"")</f>
        <v/>
      </c>
    </row>
    <row r="72" ht="19.5" customHeight="1" s="105">
      <c r="A72" s="31" t="n"/>
      <c r="B72" s="40" t="n"/>
      <c r="C72" s="40" t="n"/>
      <c r="D72" s="65" t="n"/>
      <c r="E72" s="56" t="n"/>
      <c r="F72" s="31" t="n"/>
      <c r="G72" s="31" t="n"/>
      <c r="H72" s="40" t="n"/>
      <c r="I72" s="42" t="n"/>
      <c r="J72" s="42" t="n"/>
      <c r="K72" s="33">
        <f>IFERROR(IF(J72="","",TODAY()-INT(J72)),"")</f>
        <v/>
      </c>
    </row>
    <row r="73" ht="19.5" customHeight="1" s="105">
      <c r="A73" s="31" t="n"/>
      <c r="B73" s="40" t="n"/>
      <c r="C73" s="40" t="n"/>
      <c r="D73" s="65" t="n"/>
      <c r="E73" s="56" t="n"/>
      <c r="F73" s="31" t="n"/>
      <c r="G73" s="31" t="n"/>
      <c r="H73" s="40" t="n"/>
      <c r="I73" s="42" t="n"/>
      <c r="J73" s="42" t="n"/>
      <c r="K73" s="25">
        <f>IFERROR(IF(J73="","",TODAY()-INT(J73)),"")</f>
        <v/>
      </c>
    </row>
    <row r="74" ht="19.5" customHeight="1" s="105">
      <c r="A74" s="31" t="n"/>
      <c r="B74" s="40" t="n"/>
      <c r="C74" s="40" t="n"/>
      <c r="D74" s="65" t="n"/>
      <c r="E74" s="56" t="n"/>
      <c r="F74" s="31" t="n"/>
      <c r="G74" s="31" t="n"/>
      <c r="H74" s="40" t="n"/>
      <c r="I74" s="42" t="n"/>
      <c r="J74" s="42" t="n"/>
      <c r="K74" s="33">
        <f>IFERROR(IF(J74="","",TODAY()-INT(J74)),"")</f>
        <v/>
      </c>
    </row>
    <row r="75" ht="19.5" customHeight="1" s="105">
      <c r="A75" s="31" t="n"/>
      <c r="B75" s="40" t="n"/>
      <c r="C75" s="40" t="n"/>
      <c r="D75" s="65" t="n"/>
      <c r="E75" s="56" t="n"/>
      <c r="F75" s="31" t="n"/>
      <c r="G75" s="31" t="n"/>
      <c r="H75" s="40" t="n"/>
      <c r="I75" s="42" t="n"/>
      <c r="J75" s="42" t="n"/>
      <c r="K75" s="25">
        <f>IFERROR(IF(J75="","",TODAY()-INT(J75)),"")</f>
        <v/>
      </c>
    </row>
    <row r="76" ht="19.5" customHeight="1" s="105">
      <c r="A76" s="31" t="n"/>
      <c r="B76" s="40" t="n"/>
      <c r="C76" s="40" t="n"/>
      <c r="D76" s="65" t="n"/>
      <c r="E76" s="56" t="n"/>
      <c r="F76" s="31" t="n"/>
      <c r="G76" s="31" t="n"/>
      <c r="H76" s="40" t="n"/>
      <c r="I76" s="42" t="n"/>
      <c r="J76" s="42" t="n"/>
      <c r="K76" s="33">
        <f>IFERROR(IF(J76="","",TODAY()-INT(J76)),"")</f>
        <v/>
      </c>
    </row>
    <row r="77" ht="19.5" customHeight="1" s="105">
      <c r="A77" s="31" t="n"/>
      <c r="B77" s="40" t="n"/>
      <c r="C77" s="40" t="n"/>
      <c r="D77" s="65" t="n"/>
      <c r="E77" s="56" t="n"/>
      <c r="F77" s="31" t="n"/>
      <c r="G77" s="31" t="n"/>
      <c r="H77" s="40" t="n"/>
      <c r="I77" s="42" t="n"/>
      <c r="J77" s="42" t="n"/>
      <c r="K77" s="25">
        <f>IFERROR(IF(J77="","",TODAY()-INT(J77)),"")</f>
        <v/>
      </c>
    </row>
    <row r="78" ht="19.5" customHeight="1" s="105">
      <c r="A78" s="31" t="n"/>
      <c r="B78" s="40" t="n"/>
      <c r="C78" s="40" t="n"/>
      <c r="D78" s="65" t="n"/>
      <c r="E78" s="56" t="n"/>
      <c r="F78" s="31" t="n"/>
      <c r="G78" s="31" t="n"/>
      <c r="H78" s="40" t="n"/>
      <c r="I78" s="42" t="n"/>
      <c r="J78" s="42" t="n"/>
      <c r="K78" s="33">
        <f>IFERROR(IF(J78="","",TODAY()-INT(J78)),"")</f>
        <v/>
      </c>
    </row>
    <row r="79" ht="19.5" customHeight="1" s="105">
      <c r="A79" s="31" t="n"/>
      <c r="B79" s="40" t="n"/>
      <c r="C79" s="40" t="n"/>
      <c r="D79" s="65" t="n"/>
      <c r="E79" s="56" t="n"/>
      <c r="F79" s="31" t="n"/>
      <c r="G79" s="31" t="n"/>
      <c r="H79" s="40" t="n"/>
      <c r="I79" s="42" t="n"/>
      <c r="J79" s="42" t="n"/>
      <c r="K79" s="25">
        <f>IFERROR(IF(J79="","",TODAY()-INT(J79)),"")</f>
        <v/>
      </c>
    </row>
    <row r="80" ht="19.5" customHeight="1" s="105">
      <c r="A80" s="31" t="n"/>
      <c r="B80" s="40" t="n"/>
      <c r="C80" s="40" t="n"/>
      <c r="D80" s="65" t="n"/>
      <c r="E80" s="56" t="n"/>
      <c r="F80" s="31" t="n"/>
      <c r="G80" s="31" t="n"/>
      <c r="H80" s="40" t="n"/>
      <c r="I80" s="42" t="n"/>
      <c r="J80" s="42" t="n"/>
      <c r="K80" s="33">
        <f>IFERROR(IF(J80="","",TODAY()-INT(J80)),"")</f>
        <v/>
      </c>
    </row>
    <row r="81" ht="19.5" customHeight="1" s="105">
      <c r="A81" s="31" t="n"/>
      <c r="B81" s="40" t="n"/>
      <c r="C81" s="40" t="n"/>
      <c r="D81" s="65" t="n"/>
      <c r="E81" s="56" t="n"/>
      <c r="F81" s="31" t="n"/>
      <c r="G81" s="31" t="n"/>
      <c r="H81" s="40" t="n"/>
      <c r="I81" s="42" t="n"/>
      <c r="J81" s="42" t="n"/>
      <c r="K81" s="25">
        <f>IFERROR(IF(J81="","",TODAY()-INT(J81)),"")</f>
        <v/>
      </c>
    </row>
    <row r="82" ht="19.5" customHeight="1" s="105">
      <c r="A82" s="31" t="n"/>
      <c r="B82" s="40" t="n"/>
      <c r="C82" s="40" t="n"/>
      <c r="D82" s="65" t="n"/>
      <c r="E82" s="56" t="n"/>
      <c r="F82" s="31" t="n"/>
      <c r="G82" s="31" t="n"/>
      <c r="H82" s="40" t="n"/>
      <c r="I82" s="42" t="n"/>
      <c r="J82" s="42" t="n"/>
      <c r="K82" s="33">
        <f>IFERROR(IF(J82="","",TODAY()-INT(J82)),"")</f>
        <v/>
      </c>
    </row>
    <row r="83" ht="19.5" customHeight="1" s="105">
      <c r="A83" s="31" t="n"/>
      <c r="B83" s="40" t="n"/>
      <c r="C83" s="40" t="n"/>
      <c r="D83" s="65" t="n"/>
      <c r="E83" s="56" t="n"/>
      <c r="F83" s="31" t="n"/>
      <c r="G83" s="31" t="n"/>
      <c r="H83" s="40" t="n"/>
      <c r="I83" s="42" t="n"/>
      <c r="J83" s="42" t="n"/>
      <c r="K83" s="25">
        <f>IFERROR(IF(J83="","",TODAY()-INT(J83)),"")</f>
        <v/>
      </c>
    </row>
    <row r="84" ht="19.5" customHeight="1" s="105">
      <c r="A84" s="31" t="n"/>
      <c r="B84" s="40" t="n"/>
      <c r="C84" s="40" t="n"/>
      <c r="D84" s="65" t="n"/>
      <c r="E84" s="56" t="n"/>
      <c r="F84" s="31" t="n"/>
      <c r="G84" s="31" t="n"/>
      <c r="H84" s="40" t="n"/>
      <c r="I84" s="42" t="n"/>
      <c r="J84" s="42" t="n"/>
      <c r="K84" s="33">
        <f>IFERROR(IF(J84="","",TODAY()-INT(J84)),"")</f>
        <v/>
      </c>
    </row>
    <row r="85" ht="19.5" customHeight="1" s="105">
      <c r="A85" s="31" t="n"/>
      <c r="B85" s="40" t="n"/>
      <c r="C85" s="40" t="n"/>
      <c r="D85" s="65" t="n"/>
      <c r="E85" s="56" t="n"/>
      <c r="F85" s="31" t="n"/>
      <c r="G85" s="31" t="n"/>
      <c r="H85" s="40" t="n"/>
      <c r="I85" s="42" t="n"/>
      <c r="J85" s="42" t="n"/>
      <c r="K85" s="25">
        <f>IFERROR(IF(J85="","",TODAY()-INT(J85)),"")</f>
        <v/>
      </c>
    </row>
    <row r="86" ht="19.5" customHeight="1" s="105">
      <c r="A86" s="31" t="n"/>
      <c r="B86" s="40" t="n"/>
      <c r="C86" s="40" t="n"/>
      <c r="D86" s="65" t="n"/>
      <c r="E86" s="56" t="n"/>
      <c r="F86" s="31" t="n"/>
      <c r="G86" s="31" t="n"/>
      <c r="H86" s="40" t="n"/>
      <c r="I86" s="42" t="n"/>
      <c r="J86" s="42" t="n"/>
      <c r="K86" s="33">
        <f>IFERROR(IF(J86="","",TODAY()-INT(J86)),"")</f>
        <v/>
      </c>
    </row>
    <row r="87" ht="19.5" customHeight="1" s="105">
      <c r="A87" s="31" t="n"/>
      <c r="B87" s="40" t="n"/>
      <c r="C87" s="40" t="n"/>
      <c r="D87" s="65" t="n"/>
      <c r="E87" s="56" t="n"/>
      <c r="F87" s="31" t="n"/>
      <c r="G87" s="31" t="n"/>
      <c r="H87" s="40" t="n"/>
      <c r="I87" s="42" t="n"/>
      <c r="J87" s="42" t="n"/>
      <c r="K87" s="25">
        <f>IFERROR(IF(J87="","",TODAY()-INT(J87)),"")</f>
        <v/>
      </c>
    </row>
    <row r="88" ht="19.5" customHeight="1" s="105">
      <c r="A88" s="31" t="n"/>
      <c r="B88" s="40" t="n"/>
      <c r="C88" s="40" t="n"/>
      <c r="D88" s="65" t="n"/>
      <c r="E88" s="56" t="n"/>
      <c r="F88" s="31" t="n"/>
      <c r="G88" s="31" t="n"/>
      <c r="H88" s="40" t="n"/>
      <c r="I88" s="42" t="n"/>
      <c r="J88" s="42" t="n"/>
      <c r="K88" s="33">
        <f>IFERROR(IF(J88="","",TODAY()-INT(J88)),"")</f>
        <v/>
      </c>
    </row>
    <row r="89" ht="19.5" customHeight="1" s="105">
      <c r="A89" s="31" t="n"/>
      <c r="B89" s="40" t="n"/>
      <c r="C89" s="40" t="n"/>
      <c r="D89" s="65" t="n"/>
      <c r="E89" s="56" t="n"/>
      <c r="F89" s="31" t="n"/>
      <c r="G89" s="31" t="n"/>
      <c r="H89" s="40" t="n"/>
      <c r="I89" s="42" t="n"/>
      <c r="J89" s="42" t="n"/>
      <c r="K89" s="25">
        <f>IFERROR(IF(J89="","",TODAY()-INT(J89)),"")</f>
        <v/>
      </c>
    </row>
    <row r="90" ht="19.5" customHeight="1" s="105">
      <c r="A90" s="31" t="n"/>
      <c r="B90" s="40" t="n"/>
      <c r="C90" s="40" t="n"/>
      <c r="D90" s="65" t="n"/>
      <c r="E90" s="56" t="n"/>
      <c r="F90" s="31" t="n"/>
      <c r="G90" s="31" t="n"/>
      <c r="H90" s="40" t="n"/>
      <c r="I90" s="42" t="n"/>
      <c r="J90" s="42" t="n"/>
      <c r="K90" s="33">
        <f>IFERROR(IF(J90="","",TODAY()-INT(J90)),"")</f>
        <v/>
      </c>
    </row>
    <row r="91" ht="19.5" customHeight="1" s="105">
      <c r="A91" s="31" t="n"/>
      <c r="B91" s="40" t="n"/>
      <c r="C91" s="40" t="n"/>
      <c r="D91" s="65" t="n"/>
      <c r="E91" s="56" t="n"/>
      <c r="F91" s="31" t="n"/>
      <c r="G91" s="31" t="n"/>
      <c r="H91" s="40" t="n"/>
      <c r="I91" s="42" t="n"/>
      <c r="J91" s="42" t="n"/>
      <c r="K91" s="25">
        <f>IFERROR(IF(J91="","",TODAY()-INT(J91)),"")</f>
        <v/>
      </c>
    </row>
    <row r="92" ht="19.5" customHeight="1" s="105">
      <c r="A92" s="31" t="n"/>
      <c r="B92" s="40" t="n"/>
      <c r="C92" s="40" t="n"/>
      <c r="D92" s="65" t="n"/>
      <c r="E92" s="56" t="n"/>
      <c r="F92" s="31" t="n"/>
      <c r="G92" s="31" t="n"/>
      <c r="H92" s="40" t="n"/>
      <c r="I92" s="42" t="n"/>
      <c r="J92" s="42" t="n"/>
      <c r="K92" s="33">
        <f>IFERROR(IF(J92="","",TODAY()-INT(J92)),"")</f>
        <v/>
      </c>
    </row>
    <row r="93" ht="19.5" customHeight="1" s="105">
      <c r="A93" s="31" t="n"/>
      <c r="B93" s="40" t="n"/>
      <c r="C93" s="40" t="n"/>
      <c r="D93" s="65" t="n"/>
      <c r="E93" s="56" t="n"/>
      <c r="F93" s="31" t="n"/>
      <c r="G93" s="31" t="n"/>
      <c r="H93" s="40" t="n"/>
      <c r="I93" s="42" t="n"/>
      <c r="J93" s="42" t="n"/>
      <c r="K93" s="25">
        <f>IFERROR(IF(J93="","",TODAY()-INT(J93)),"")</f>
        <v/>
      </c>
    </row>
    <row r="94" ht="19.5" customHeight="1" s="105">
      <c r="A94" s="31" t="n"/>
      <c r="B94" s="40" t="n"/>
      <c r="C94" s="40" t="n"/>
      <c r="D94" s="65" t="n"/>
      <c r="E94" s="56" t="n"/>
      <c r="F94" s="31" t="n"/>
      <c r="G94" s="31" t="n"/>
      <c r="H94" s="40" t="n"/>
      <c r="I94" s="42" t="n"/>
      <c r="J94" s="42" t="n"/>
      <c r="K94" s="33">
        <f>IFERROR(IF(J94="","",TODAY()-INT(J94)),"")</f>
        <v/>
      </c>
    </row>
    <row r="95" ht="19.5" customHeight="1" s="105">
      <c r="A95" s="31" t="n"/>
      <c r="B95" s="40" t="n"/>
      <c r="C95" s="40" t="n"/>
      <c r="D95" s="65" t="n"/>
      <c r="E95" s="56" t="n"/>
      <c r="F95" s="31" t="n"/>
      <c r="G95" s="31" t="n"/>
      <c r="H95" s="40" t="n"/>
      <c r="I95" s="42" t="n"/>
      <c r="J95" s="42" t="n"/>
      <c r="K95" s="25">
        <f>IFERROR(IF(J95="","",TODAY()-INT(J95)),"")</f>
        <v/>
      </c>
    </row>
    <row r="96" ht="19.5" customHeight="1" s="105">
      <c r="A96" s="31" t="n"/>
      <c r="B96" s="40" t="n"/>
      <c r="C96" s="40" t="n"/>
      <c r="D96" s="65" t="n"/>
      <c r="E96" s="56" t="n"/>
      <c r="F96" s="31" t="n"/>
      <c r="G96" s="31" t="n"/>
      <c r="H96" s="40" t="n"/>
      <c r="I96" s="42" t="n"/>
      <c r="J96" s="42" t="n"/>
      <c r="K96" s="33">
        <f>IFERROR(IF(J96="","",TODAY()-INT(J96)),"")</f>
        <v/>
      </c>
    </row>
    <row r="97" ht="19.5" customHeight="1" s="105">
      <c r="A97" s="31" t="n"/>
      <c r="B97" s="40" t="n"/>
      <c r="C97" s="40" t="n"/>
      <c r="D97" s="65" t="n"/>
      <c r="E97" s="56" t="n"/>
      <c r="F97" s="31" t="n"/>
      <c r="G97" s="31" t="n"/>
      <c r="H97" s="40" t="n"/>
      <c r="I97" s="42" t="n"/>
      <c r="J97" s="42" t="n"/>
      <c r="K97" s="25">
        <f>IFERROR(IF(J97="","",TODAY()-INT(J97)),"")</f>
        <v/>
      </c>
    </row>
    <row r="98" ht="19.5" customHeight="1" s="105">
      <c r="A98" s="31" t="n"/>
      <c r="B98" s="40" t="n"/>
      <c r="C98" s="40" t="n"/>
      <c r="D98" s="65" t="n"/>
      <c r="E98" s="56" t="n"/>
      <c r="F98" s="31" t="n"/>
      <c r="G98" s="31" t="n"/>
      <c r="H98" s="40" t="n"/>
      <c r="I98" s="42" t="n"/>
      <c r="J98" s="42" t="n"/>
      <c r="K98" s="33">
        <f>IFERROR(IF(J98="","",TODAY()-INT(J98)),"")</f>
        <v/>
      </c>
    </row>
    <row r="99" ht="19.5" customHeight="1" s="105">
      <c r="A99" s="31" t="n"/>
      <c r="B99" s="40" t="n"/>
      <c r="C99" s="40" t="n"/>
      <c r="D99" s="65" t="n"/>
      <c r="E99" s="56" t="n"/>
      <c r="F99" s="31" t="n"/>
      <c r="G99" s="31" t="n"/>
      <c r="H99" s="40" t="n"/>
      <c r="I99" s="42" t="n"/>
      <c r="J99" s="42" t="n"/>
      <c r="K99" s="25">
        <f>IFERROR(IF(J99="","",TODAY()-INT(J99)),"")</f>
        <v/>
      </c>
    </row>
    <row r="100" ht="19.5" customHeight="1" s="105">
      <c r="A100" s="31" t="n"/>
      <c r="B100" s="40" t="n"/>
      <c r="C100" s="40" t="n"/>
      <c r="D100" s="65" t="n"/>
      <c r="E100" s="56" t="n"/>
      <c r="F100" s="31" t="n"/>
      <c r="G100" s="31" t="n"/>
      <c r="H100" s="40" t="n"/>
      <c r="I100" s="42" t="n"/>
      <c r="J100" s="42" t="n"/>
      <c r="K100" s="33">
        <f>IFERROR(IF(J100="","",TODAY()-INT(J100)),"")</f>
        <v/>
      </c>
    </row>
    <row r="101" ht="19.5" customHeight="1" s="105">
      <c r="A101" s="31" t="n"/>
      <c r="B101" s="40" t="n"/>
      <c r="C101" s="40" t="n"/>
      <c r="D101" s="65" t="n"/>
      <c r="E101" s="56" t="n"/>
      <c r="F101" s="31" t="n"/>
      <c r="G101" s="31" t="n"/>
      <c r="H101" s="40" t="n"/>
      <c r="I101" s="42" t="n"/>
      <c r="J101" s="42" t="n"/>
      <c r="K101" s="25">
        <f>IFERROR(IF(J101="","",TODAY()-INT(J101)),"")</f>
        <v/>
      </c>
    </row>
    <row r="102" ht="19.5" customHeight="1" s="105">
      <c r="A102" s="31" t="n"/>
      <c r="B102" s="40" t="n"/>
      <c r="C102" s="40" t="n"/>
      <c r="D102" s="65" t="n"/>
      <c r="E102" s="56" t="n"/>
      <c r="F102" s="31" t="n"/>
      <c r="G102" s="31" t="n"/>
      <c r="H102" s="40" t="n"/>
      <c r="I102" s="42" t="n"/>
      <c r="J102" s="42" t="n"/>
      <c r="K102" s="33">
        <f>IFERROR(IF(J102="","",TODAY()-INT(J102)),"")</f>
        <v/>
      </c>
    </row>
    <row r="103" ht="19.5" customHeight="1" s="105">
      <c r="A103" s="31" t="n"/>
      <c r="B103" s="40" t="n"/>
      <c r="C103" s="40" t="n"/>
      <c r="D103" s="65" t="n"/>
      <c r="E103" s="56" t="n"/>
      <c r="F103" s="31" t="n"/>
      <c r="G103" s="31" t="n"/>
      <c r="H103" s="40" t="n"/>
      <c r="I103" s="42" t="n"/>
      <c r="J103" s="42" t="n"/>
      <c r="K103" s="25">
        <f>IFERROR(IF(J103="","",TODAY()-INT(J103)),"")</f>
        <v/>
      </c>
    </row>
    <row r="104" ht="15.75" customHeight="1" s="105">
      <c r="A104" s="31" t="n"/>
      <c r="B104" s="40" t="n"/>
      <c r="C104" s="40" t="n"/>
      <c r="D104" s="65" t="n"/>
      <c r="E104" s="56" t="n"/>
      <c r="F104" s="31" t="n"/>
      <c r="G104" s="31" t="n"/>
      <c r="H104" s="40" t="n"/>
      <c r="I104" s="42" t="n"/>
      <c r="J104" s="42" t="n"/>
      <c r="K104" s="66">
        <f>IFERROR(IF(J104="","",TODAY()-INT(J104)),"")</f>
        <v/>
      </c>
    </row>
    <row r="105" ht="15.75" customHeight="1" s="105">
      <c r="A105" s="31" t="n"/>
      <c r="B105" s="40" t="n"/>
      <c r="C105" s="40" t="n"/>
      <c r="D105" s="65" t="n"/>
      <c r="E105" s="56" t="n"/>
      <c r="F105" s="31" t="n"/>
      <c r="G105" s="31" t="n"/>
      <c r="H105" s="40" t="n"/>
      <c r="I105" s="42" t="n"/>
      <c r="J105" s="42" t="n"/>
      <c r="K105" s="66">
        <f>IFERROR(IF(J105="","",TODAY()-INT(J105)),"")</f>
        <v/>
      </c>
    </row>
    <row r="106" ht="15.75" customHeight="1" s="105">
      <c r="A106" s="31" t="n"/>
      <c r="B106" s="40" t="n"/>
      <c r="C106" s="40" t="n"/>
      <c r="D106" s="65" t="n"/>
      <c r="E106" s="56" t="n"/>
      <c r="F106" s="31" t="n"/>
      <c r="G106" s="31" t="n"/>
      <c r="H106" s="40" t="n"/>
      <c r="I106" s="42" t="n"/>
      <c r="J106" s="42" t="n"/>
      <c r="K106" s="66">
        <f>IFERROR(IF(J106="","",TODAY()-INT(J106)),"")</f>
        <v/>
      </c>
    </row>
    <row r="107" ht="15.75" customHeight="1" s="105">
      <c r="A107" s="31" t="n"/>
      <c r="B107" s="40" t="n"/>
      <c r="C107" s="40" t="n"/>
      <c r="D107" s="65" t="n"/>
      <c r="E107" s="56" t="n"/>
      <c r="F107" s="31" t="n"/>
      <c r="G107" s="31" t="n"/>
      <c r="H107" s="40" t="n"/>
      <c r="I107" s="42" t="n"/>
      <c r="J107" s="42" t="n"/>
      <c r="K107" s="66">
        <f>IFERROR(IF(J107="","",TODAY()-INT(J107)),"")</f>
        <v/>
      </c>
    </row>
    <row r="108" ht="15.75" customHeight="1" s="105">
      <c r="A108" s="31" t="n"/>
      <c r="B108" s="40" t="n"/>
      <c r="C108" s="40" t="n"/>
      <c r="D108" s="65" t="n"/>
      <c r="E108" s="56" t="n"/>
      <c r="F108" s="31" t="n"/>
      <c r="G108" s="31" t="n"/>
      <c r="H108" s="40" t="n"/>
      <c r="I108" s="42" t="n"/>
      <c r="J108" s="42" t="n"/>
      <c r="K108" s="66">
        <f>IFERROR(IF(J108="","",TODAY()-INT(J108)),"")</f>
        <v/>
      </c>
    </row>
    <row r="109" ht="15.75" customHeight="1" s="105">
      <c r="A109" s="31" t="n"/>
      <c r="B109" s="40" t="n"/>
      <c r="C109" s="40" t="n"/>
      <c r="D109" s="65" t="n"/>
      <c r="E109" s="56" t="n"/>
      <c r="F109" s="31" t="n"/>
      <c r="G109" s="31" t="n"/>
      <c r="H109" s="40" t="n"/>
      <c r="I109" s="42" t="n"/>
      <c r="J109" s="42" t="n"/>
      <c r="K109" s="66">
        <f>IFERROR(IF(J109="","",TODAY()-INT(J109)),"")</f>
        <v/>
      </c>
    </row>
    <row r="110" ht="15.75" customHeight="1" s="105">
      <c r="A110" s="31" t="n"/>
      <c r="B110" s="40" t="n"/>
      <c r="C110" s="40" t="n"/>
      <c r="D110" s="65" t="n"/>
      <c r="E110" s="56" t="n"/>
      <c r="F110" s="31" t="n"/>
      <c r="G110" s="31" t="n"/>
      <c r="H110" s="40" t="n"/>
      <c r="I110" s="42" t="n"/>
      <c r="J110" s="42" t="n"/>
      <c r="K110" s="66">
        <f>IFERROR(IF(J110="","",TODAY()-INT(J110)),"")</f>
        <v/>
      </c>
    </row>
    <row r="111" ht="15.75" customHeight="1" s="105">
      <c r="A111" s="31" t="n"/>
      <c r="B111" s="40" t="n"/>
      <c r="C111" s="40" t="n"/>
      <c r="D111" s="65" t="n"/>
      <c r="E111" s="56" t="n"/>
      <c r="F111" s="31" t="n"/>
      <c r="G111" s="31" t="n"/>
      <c r="H111" s="40" t="n"/>
      <c r="I111" s="42" t="n"/>
      <c r="J111" s="42" t="n"/>
      <c r="K111" s="66">
        <f>IFERROR(IF(J111="","",TODAY()-INT(J111)),"")</f>
        <v/>
      </c>
    </row>
    <row r="112" ht="15.75" customHeight="1" s="105">
      <c r="A112" s="31" t="n"/>
      <c r="B112" s="40" t="n"/>
      <c r="C112" s="40" t="n"/>
      <c r="D112" s="65" t="n"/>
      <c r="E112" s="56" t="n"/>
      <c r="F112" s="31" t="n"/>
      <c r="G112" s="31" t="n"/>
      <c r="H112" s="40" t="n"/>
      <c r="I112" s="42" t="n"/>
      <c r="J112" s="42" t="n"/>
      <c r="K112" s="66">
        <f>IFERROR(IF(J112="","",TODAY()-INT(J112)),"")</f>
        <v/>
      </c>
    </row>
    <row r="113" ht="15.75" customHeight="1" s="105">
      <c r="A113" s="31" t="n"/>
      <c r="B113" s="40" t="n"/>
      <c r="C113" s="40" t="n"/>
      <c r="D113" s="65" t="n"/>
      <c r="E113" s="56" t="n"/>
      <c r="F113" s="31" t="n"/>
      <c r="G113" s="31" t="n"/>
      <c r="H113" s="40" t="n"/>
      <c r="I113" s="42" t="n"/>
      <c r="J113" s="42" t="n"/>
      <c r="K113" s="66">
        <f>IFERROR(IF(J113="","",TODAY()-INT(J113)),"")</f>
        <v/>
      </c>
    </row>
    <row r="114" ht="15.75" customHeight="1" s="105">
      <c r="A114" s="31" t="n"/>
      <c r="B114" s="40" t="n"/>
      <c r="C114" s="40" t="n"/>
      <c r="D114" s="65" t="n"/>
      <c r="E114" s="56" t="n"/>
      <c r="F114" s="31" t="n"/>
      <c r="G114" s="31" t="n"/>
      <c r="H114" s="40" t="n"/>
      <c r="I114" s="42" t="n"/>
      <c r="J114" s="42" t="n"/>
      <c r="K114" s="66">
        <f>IFERROR(IF(J114="","",TODAY()-INT(J114)),"")</f>
        <v/>
      </c>
    </row>
    <row r="115" ht="15.75" customHeight="1" s="105">
      <c r="A115" s="31" t="n"/>
      <c r="B115" s="40" t="n"/>
      <c r="C115" s="40" t="n"/>
      <c r="D115" s="65" t="n"/>
      <c r="E115" s="56" t="n"/>
      <c r="F115" s="31" t="n"/>
      <c r="G115" s="31" t="n"/>
      <c r="H115" s="40" t="n"/>
      <c r="I115" s="42" t="n"/>
      <c r="J115" s="42" t="n"/>
      <c r="K115" s="66">
        <f>IFERROR(IF(J115="","",TODAY()-INT(J115)),"")</f>
        <v/>
      </c>
    </row>
    <row r="116" ht="15.75" customHeight="1" s="105">
      <c r="A116" s="31" t="n"/>
      <c r="B116" s="40" t="n"/>
      <c r="C116" s="40" t="n"/>
      <c r="D116" s="65" t="n"/>
      <c r="E116" s="56" t="n"/>
      <c r="F116" s="31" t="n"/>
      <c r="G116" s="31" t="n"/>
      <c r="H116" s="40" t="n"/>
      <c r="I116" s="42" t="n"/>
      <c r="J116" s="42" t="n"/>
      <c r="K116" s="66">
        <f>IFERROR(IF(J116="","",TODAY()-INT(J116)),"")</f>
        <v/>
      </c>
    </row>
    <row r="117" ht="15.75" customHeight="1" s="105">
      <c r="A117" s="31" t="n"/>
      <c r="B117" s="40" t="n"/>
      <c r="C117" s="40" t="n"/>
      <c r="D117" s="65" t="n"/>
      <c r="E117" s="56" t="n"/>
      <c r="F117" s="31" t="n"/>
      <c r="G117" s="31" t="n"/>
      <c r="H117" s="40" t="n"/>
      <c r="I117" s="42" t="n"/>
      <c r="J117" s="42" t="n"/>
      <c r="K117" s="66">
        <f>IFERROR(IF(J117="","",TODAY()-INT(J117)),"")</f>
        <v/>
      </c>
    </row>
    <row r="118" ht="15.75" customHeight="1" s="105">
      <c r="A118" s="31" t="n"/>
      <c r="B118" s="40" t="n"/>
      <c r="C118" s="40" t="n"/>
      <c r="D118" s="65" t="n"/>
      <c r="E118" s="56" t="n"/>
      <c r="F118" s="31" t="n"/>
      <c r="G118" s="31" t="n"/>
      <c r="H118" s="40" t="n"/>
      <c r="I118" s="42" t="n"/>
      <c r="J118" s="42" t="n"/>
      <c r="K118" s="66">
        <f>IFERROR(IF(J118="","",TODAY()-INT(J118)),"")</f>
        <v/>
      </c>
    </row>
    <row r="119" ht="15.75" customHeight="1" s="105">
      <c r="A119" s="31" t="n"/>
      <c r="B119" s="40" t="n"/>
      <c r="C119" s="40" t="n"/>
      <c r="D119" s="65" t="n"/>
      <c r="E119" s="56" t="n"/>
      <c r="F119" s="31" t="n"/>
      <c r="G119" s="31" t="n"/>
      <c r="H119" s="40" t="n"/>
      <c r="I119" s="42" t="n"/>
      <c r="J119" s="42" t="n"/>
      <c r="K119" s="66">
        <f>IFERROR(IF(J119="","",TODAY()-INT(J119)),"")</f>
        <v/>
      </c>
    </row>
    <row r="120" ht="15.75" customHeight="1" s="105">
      <c r="A120" s="31" t="n"/>
      <c r="B120" s="40" t="n"/>
      <c r="C120" s="40" t="n"/>
      <c r="D120" s="65" t="n"/>
      <c r="E120" s="56" t="n"/>
      <c r="F120" s="31" t="n"/>
      <c r="G120" s="31" t="n"/>
      <c r="H120" s="40" t="n"/>
      <c r="I120" s="42" t="n"/>
      <c r="J120" s="42" t="n"/>
      <c r="K120" s="66">
        <f>IFERROR(IF(J120="","",TODAY()-INT(J120)),"")</f>
        <v/>
      </c>
    </row>
    <row r="121" ht="15.75" customHeight="1" s="105">
      <c r="A121" s="31" t="n"/>
      <c r="B121" s="40" t="n"/>
      <c r="C121" s="40" t="n"/>
      <c r="D121" s="65" t="n"/>
      <c r="E121" s="56" t="n"/>
      <c r="F121" s="31" t="n"/>
      <c r="G121" s="31" t="n"/>
      <c r="H121" s="40" t="n"/>
      <c r="I121" s="42" t="n"/>
      <c r="J121" s="42" t="n"/>
      <c r="K121" s="66">
        <f>IFERROR(IF(J121="","",TODAY()-INT(J121)),"")</f>
        <v/>
      </c>
    </row>
    <row r="122" ht="15.75" customHeight="1" s="105">
      <c r="A122" s="31" t="n"/>
      <c r="B122" s="40" t="n"/>
      <c r="C122" s="40" t="n"/>
      <c r="D122" s="65" t="n"/>
      <c r="E122" s="56" t="n"/>
      <c r="F122" s="31" t="n"/>
      <c r="G122" s="31" t="n"/>
      <c r="H122" s="40" t="n"/>
      <c r="I122" s="42" t="n"/>
      <c r="J122" s="42" t="n"/>
      <c r="K122" s="66">
        <f>IFERROR(IF(J122="","",TODAY()-INT(J122)),"")</f>
        <v/>
      </c>
    </row>
    <row r="123" ht="15.75" customHeight="1" s="105">
      <c r="A123" s="31" t="n"/>
      <c r="B123" s="40" t="n"/>
      <c r="C123" s="40" t="n"/>
      <c r="D123" s="65" t="n"/>
      <c r="E123" s="56" t="n"/>
      <c r="F123" s="31" t="n"/>
      <c r="G123" s="31" t="n"/>
      <c r="H123" s="40" t="n"/>
      <c r="I123" s="42" t="n"/>
      <c r="J123" s="42" t="n"/>
      <c r="K123" s="66">
        <f>IFERROR(IF(J123="","",TODAY()-INT(J123)),"")</f>
        <v/>
      </c>
    </row>
    <row r="124" ht="15.75" customHeight="1" s="105">
      <c r="A124" s="31" t="n"/>
      <c r="B124" s="40" t="n"/>
      <c r="C124" s="40" t="n"/>
      <c r="D124" s="65" t="n"/>
      <c r="E124" s="56" t="n"/>
      <c r="F124" s="31" t="n"/>
      <c r="G124" s="31" t="n"/>
      <c r="H124" s="40" t="n"/>
      <c r="I124" s="42" t="n"/>
      <c r="J124" s="42" t="n"/>
      <c r="K124" s="66">
        <f>IFERROR(IF(J124="","",TODAY()-INT(J124)),"")</f>
        <v/>
      </c>
    </row>
    <row r="125" ht="15.75" customHeight="1" s="105">
      <c r="A125" s="31" t="n"/>
      <c r="B125" s="40" t="n"/>
      <c r="C125" s="40" t="n"/>
      <c r="D125" s="65" t="n"/>
      <c r="E125" s="56" t="n"/>
      <c r="F125" s="31" t="n"/>
      <c r="G125" s="31" t="n"/>
      <c r="H125" s="40" t="n"/>
      <c r="I125" s="42" t="n"/>
      <c r="J125" s="42" t="n"/>
      <c r="K125" s="66">
        <f>IFERROR(IF(J125="","",TODAY()-INT(J125)),"")</f>
        <v/>
      </c>
    </row>
    <row r="126" ht="15.75" customHeight="1" s="105">
      <c r="A126" s="31" t="n"/>
      <c r="B126" s="40" t="n"/>
      <c r="C126" s="40" t="n"/>
      <c r="D126" s="65" t="n"/>
      <c r="E126" s="56" t="n"/>
      <c r="F126" s="31" t="n"/>
      <c r="G126" s="31" t="n"/>
      <c r="H126" s="40" t="n"/>
      <c r="I126" s="42" t="n"/>
      <c r="J126" s="42" t="n"/>
      <c r="K126" s="66">
        <f>IFERROR(IF(J126="","",TODAY()-INT(J126)),"")</f>
        <v/>
      </c>
    </row>
    <row r="127" ht="15.75" customHeight="1" s="105">
      <c r="A127" s="31" t="n"/>
      <c r="B127" s="40" t="n"/>
      <c r="C127" s="40" t="n"/>
      <c r="D127" s="65" t="n"/>
      <c r="E127" s="56" t="n"/>
      <c r="F127" s="31" t="n"/>
      <c r="G127" s="31" t="n"/>
      <c r="H127" s="40" t="n"/>
      <c r="I127" s="42" t="n"/>
      <c r="J127" s="42" t="n"/>
      <c r="K127" s="66">
        <f>IFERROR(IF(J127="","",TODAY()-INT(J127)),"")</f>
        <v/>
      </c>
    </row>
    <row r="128" ht="15.75" customHeight="1" s="105">
      <c r="A128" s="31" t="n"/>
      <c r="B128" s="40" t="n"/>
      <c r="C128" s="40" t="n"/>
      <c r="D128" s="65" t="n"/>
      <c r="E128" s="56" t="n"/>
      <c r="F128" s="31" t="n"/>
      <c r="G128" s="31" t="n"/>
      <c r="H128" s="40" t="n"/>
      <c r="I128" s="42" t="n"/>
      <c r="J128" s="42" t="n"/>
      <c r="K128" s="66">
        <f>IFERROR(IF(J128="","",TODAY()-INT(J128)),"")</f>
        <v/>
      </c>
    </row>
    <row r="129" ht="15.75" customHeight="1" s="105">
      <c r="A129" s="31" t="n"/>
      <c r="B129" s="40" t="n"/>
      <c r="C129" s="40" t="n"/>
      <c r="D129" s="65" t="n"/>
      <c r="E129" s="56" t="n"/>
      <c r="F129" s="31" t="n"/>
      <c r="G129" s="31" t="n"/>
      <c r="H129" s="40" t="n"/>
      <c r="I129" s="42" t="n"/>
      <c r="J129" s="42" t="n"/>
      <c r="K129" s="66">
        <f>IFERROR(IF(J129="","",TODAY()-INT(J129)),"")</f>
        <v/>
      </c>
    </row>
    <row r="130" ht="15.75" customHeight="1" s="105">
      <c r="A130" s="31" t="n"/>
      <c r="B130" s="40" t="n"/>
      <c r="C130" s="40" t="n"/>
      <c r="D130" s="65" t="n"/>
      <c r="E130" s="56" t="n"/>
      <c r="F130" s="31" t="n"/>
      <c r="G130" s="31" t="n"/>
      <c r="H130" s="40" t="n"/>
      <c r="I130" s="42" t="n"/>
      <c r="J130" s="42" t="n"/>
      <c r="K130" s="66">
        <f>IFERROR(IF(J130="","",TODAY()-INT(J130)),"")</f>
        <v/>
      </c>
    </row>
    <row r="131" ht="15.75" customHeight="1" s="105">
      <c r="A131" s="31" t="n"/>
      <c r="B131" s="40" t="n"/>
      <c r="C131" s="40" t="n"/>
      <c r="D131" s="65" t="n"/>
      <c r="E131" s="56" t="n"/>
      <c r="F131" s="31" t="n"/>
      <c r="G131" s="31" t="n"/>
      <c r="H131" s="40" t="n"/>
      <c r="I131" s="42" t="n"/>
      <c r="J131" s="42" t="n"/>
      <c r="K131" s="66">
        <f>IFERROR(IF(J131="","",TODAY()-INT(J131)),"")</f>
        <v/>
      </c>
    </row>
    <row r="132" ht="15.75" customHeight="1" s="105">
      <c r="A132" s="31" t="n"/>
      <c r="B132" s="40" t="n"/>
      <c r="C132" s="40" t="n"/>
      <c r="D132" s="65" t="n"/>
      <c r="E132" s="56" t="n"/>
      <c r="F132" s="31" t="n"/>
      <c r="G132" s="31" t="n"/>
      <c r="H132" s="40" t="n"/>
      <c r="I132" s="42" t="n"/>
      <c r="J132" s="42" t="n"/>
      <c r="K132" s="66">
        <f>IFERROR(IF(J132="","",TODAY()-INT(J132)),"")</f>
        <v/>
      </c>
    </row>
    <row r="133" ht="15.75" customHeight="1" s="105">
      <c r="A133" s="31" t="n"/>
      <c r="B133" s="40" t="n"/>
      <c r="C133" s="40" t="n"/>
      <c r="D133" s="65" t="n"/>
      <c r="E133" s="56" t="n"/>
      <c r="F133" s="31" t="n"/>
      <c r="G133" s="31" t="n"/>
      <c r="H133" s="40" t="n"/>
      <c r="I133" s="42" t="n"/>
      <c r="J133" s="42" t="n"/>
      <c r="K133" s="66">
        <f>IFERROR(IF(J133="","",TODAY()-INT(J133)),"")</f>
        <v/>
      </c>
    </row>
    <row r="134" ht="15.75" customHeight="1" s="105">
      <c r="A134" s="31" t="n"/>
      <c r="B134" s="40" t="n"/>
      <c r="C134" s="40" t="n"/>
      <c r="D134" s="65" t="n"/>
      <c r="E134" s="56" t="n"/>
      <c r="F134" s="31" t="n"/>
      <c r="G134" s="31" t="n"/>
      <c r="H134" s="40" t="n"/>
      <c r="I134" s="42" t="n"/>
      <c r="J134" s="42" t="n"/>
      <c r="K134" s="66">
        <f>IFERROR(IF(J134="","",TODAY()-INT(J134)),"")</f>
        <v/>
      </c>
    </row>
    <row r="135" ht="15.75" customHeight="1" s="105">
      <c r="A135" s="31" t="n"/>
      <c r="B135" s="40" t="n"/>
      <c r="C135" s="40" t="n"/>
      <c r="D135" s="65" t="n"/>
      <c r="E135" s="56" t="n"/>
      <c r="F135" s="31" t="n"/>
      <c r="G135" s="31" t="n"/>
      <c r="H135" s="40" t="n"/>
      <c r="I135" s="42" t="n"/>
      <c r="J135" s="42" t="n"/>
      <c r="K135" s="66">
        <f>IFERROR(IF(J135="","",TODAY()-INT(J135)),"")</f>
        <v/>
      </c>
    </row>
    <row r="136" ht="15.75" customHeight="1" s="105">
      <c r="A136" s="31" t="n"/>
      <c r="B136" s="40" t="n"/>
      <c r="C136" s="40" t="n"/>
      <c r="D136" s="65" t="n"/>
      <c r="E136" s="56" t="n"/>
      <c r="F136" s="31" t="n"/>
      <c r="G136" s="31" t="n"/>
      <c r="H136" s="40" t="n"/>
      <c r="I136" s="42" t="n"/>
      <c r="J136" s="42" t="n"/>
      <c r="K136" s="66">
        <f>IFERROR(IF(J136="","",TODAY()-INT(J136)),"")</f>
        <v/>
      </c>
    </row>
    <row r="137" ht="15.75" customHeight="1" s="105">
      <c r="A137" s="31" t="n"/>
      <c r="B137" s="40" t="n"/>
      <c r="C137" s="40" t="n"/>
      <c r="D137" s="65" t="n"/>
      <c r="E137" s="56" t="n"/>
      <c r="F137" s="31" t="n"/>
      <c r="G137" s="31" t="n"/>
      <c r="H137" s="40" t="n"/>
      <c r="I137" s="42" t="n"/>
      <c r="J137" s="42" t="n"/>
      <c r="K137" s="66">
        <f>IFERROR(IF(J137="","",TODAY()-INT(J137)),"")</f>
        <v/>
      </c>
    </row>
    <row r="138" ht="15.75" customHeight="1" s="105">
      <c r="A138" s="31" t="n"/>
      <c r="B138" s="40" t="n"/>
      <c r="C138" s="40" t="n"/>
      <c r="D138" s="65" t="n"/>
      <c r="E138" s="56" t="n"/>
      <c r="F138" s="31" t="n"/>
      <c r="G138" s="31" t="n"/>
      <c r="H138" s="40" t="n"/>
      <c r="I138" s="42" t="n"/>
      <c r="J138" s="42" t="n"/>
      <c r="K138" s="66">
        <f>IFERROR(IF(J138="","",TODAY()-INT(J138)),"")</f>
        <v/>
      </c>
    </row>
    <row r="139" ht="15.75" customHeight="1" s="105">
      <c r="A139" s="31" t="n"/>
      <c r="B139" s="40" t="n"/>
      <c r="C139" s="40" t="n"/>
      <c r="D139" s="65" t="n"/>
      <c r="E139" s="56" t="n"/>
      <c r="F139" s="31" t="n"/>
      <c r="G139" s="31" t="n"/>
      <c r="H139" s="40" t="n"/>
      <c r="I139" s="42" t="n"/>
      <c r="J139" s="42" t="n"/>
      <c r="K139" s="66">
        <f>IFERROR(IF(J139="","",TODAY()-INT(J139)),"")</f>
        <v/>
      </c>
    </row>
    <row r="140" ht="15.75" customHeight="1" s="105">
      <c r="A140" s="31" t="n"/>
      <c r="B140" s="40" t="n"/>
      <c r="C140" s="40" t="n"/>
      <c r="D140" s="65" t="n"/>
      <c r="E140" s="56" t="n"/>
      <c r="F140" s="31" t="n"/>
      <c r="G140" s="31" t="n"/>
      <c r="H140" s="40" t="n"/>
      <c r="I140" s="42" t="n"/>
      <c r="J140" s="42" t="n"/>
      <c r="K140" s="66">
        <f>IFERROR(IF(J140="","",TODAY()-INT(J140)),"")</f>
        <v/>
      </c>
    </row>
    <row r="141" ht="15.75" customHeight="1" s="105">
      <c r="A141" s="31" t="n"/>
      <c r="B141" s="40" t="n"/>
      <c r="C141" s="40" t="n"/>
      <c r="D141" s="65" t="n"/>
      <c r="E141" s="56" t="n"/>
      <c r="F141" s="31" t="n"/>
      <c r="G141" s="31" t="n"/>
      <c r="H141" s="40" t="n"/>
      <c r="I141" s="42" t="n"/>
      <c r="J141" s="42" t="n"/>
      <c r="K141" s="66">
        <f>IFERROR(IF(J141="","",TODAY()-INT(J141)),"")</f>
        <v/>
      </c>
    </row>
    <row r="142" ht="15.75" customHeight="1" s="105">
      <c r="A142" s="31" t="n"/>
      <c r="B142" s="40" t="n"/>
      <c r="C142" s="40" t="n"/>
      <c r="D142" s="65" t="n"/>
      <c r="E142" s="56" t="n"/>
      <c r="F142" s="31" t="n"/>
      <c r="G142" s="31" t="n"/>
      <c r="H142" s="40" t="n"/>
      <c r="I142" s="42" t="n"/>
      <c r="J142" s="42" t="n"/>
      <c r="K142" s="66">
        <f>IFERROR(IF(J142="","",TODAY()-INT(J142)),"")</f>
        <v/>
      </c>
    </row>
    <row r="143" ht="15.75" customHeight="1" s="105">
      <c r="A143" s="31" t="n"/>
      <c r="B143" s="40" t="n"/>
      <c r="C143" s="40" t="n"/>
      <c r="D143" s="65" t="n"/>
      <c r="E143" s="56" t="n"/>
      <c r="F143" s="31" t="n"/>
      <c r="G143" s="31" t="n"/>
      <c r="H143" s="40" t="n"/>
      <c r="I143" s="42" t="n"/>
      <c r="J143" s="42" t="n"/>
      <c r="K143" s="66">
        <f>IFERROR(IF(J143="","",TODAY()-INT(J143)),"")</f>
        <v/>
      </c>
    </row>
    <row r="144" ht="15.75" customHeight="1" s="105">
      <c r="A144" s="31" t="n"/>
      <c r="B144" s="40" t="n"/>
      <c r="C144" s="40" t="n"/>
      <c r="D144" s="65" t="n"/>
      <c r="E144" s="56" t="n"/>
      <c r="F144" s="31" t="n"/>
      <c r="G144" s="31" t="n"/>
      <c r="H144" s="40" t="n"/>
      <c r="I144" s="42" t="n"/>
      <c r="J144" s="42" t="n"/>
      <c r="K144" s="66">
        <f>IFERROR(IF(J144="","",TODAY()-INT(J144)),"")</f>
        <v/>
      </c>
    </row>
    <row r="145" ht="15.75" customHeight="1" s="105">
      <c r="A145" s="31" t="n"/>
      <c r="B145" s="40" t="n"/>
      <c r="C145" s="40" t="n"/>
      <c r="D145" s="65" t="n"/>
      <c r="E145" s="56" t="n"/>
      <c r="F145" s="31" t="n"/>
      <c r="G145" s="31" t="n"/>
      <c r="H145" s="40" t="n"/>
      <c r="I145" s="42" t="n"/>
      <c r="J145" s="42" t="n"/>
      <c r="K145" s="66">
        <f>IFERROR(IF(J145="","",TODAY()-INT(J145)),"")</f>
        <v/>
      </c>
    </row>
    <row r="146" ht="15.75" customHeight="1" s="105">
      <c r="A146" s="31" t="n"/>
      <c r="B146" s="40" t="n"/>
      <c r="C146" s="40" t="n"/>
      <c r="D146" s="65" t="n"/>
      <c r="E146" s="56" t="n"/>
      <c r="F146" s="31" t="n"/>
      <c r="G146" s="31" t="n"/>
      <c r="H146" s="40" t="n"/>
      <c r="I146" s="42" t="n"/>
      <c r="J146" s="42" t="n"/>
      <c r="K146" s="66">
        <f>IFERROR(IF(J146="","",TODAY()-INT(J146)),"")</f>
        <v/>
      </c>
    </row>
    <row r="147" ht="15.75" customHeight="1" s="105">
      <c r="A147" s="31" t="n"/>
      <c r="B147" s="40" t="n"/>
      <c r="C147" s="40" t="n"/>
      <c r="D147" s="65" t="n"/>
      <c r="E147" s="56" t="n"/>
      <c r="F147" s="31" t="n"/>
      <c r="G147" s="31" t="n"/>
      <c r="H147" s="40" t="n"/>
      <c r="I147" s="42" t="n"/>
      <c r="J147" s="42" t="n"/>
      <c r="K147" s="66">
        <f>IFERROR(IF(J147="","",TODAY()-INT(J147)),"")</f>
        <v/>
      </c>
    </row>
    <row r="148" ht="15.75" customHeight="1" s="105">
      <c r="A148" s="31" t="n"/>
      <c r="B148" s="40" t="n"/>
      <c r="C148" s="40" t="n"/>
      <c r="D148" s="65" t="n"/>
      <c r="E148" s="56" t="n"/>
      <c r="F148" s="31" t="n"/>
      <c r="G148" s="31" t="n"/>
      <c r="H148" s="40" t="n"/>
      <c r="I148" s="42" t="n"/>
      <c r="J148" s="42" t="n"/>
      <c r="K148" s="66">
        <f>IFERROR(IF(J148="","",TODAY()-INT(J148)),"")</f>
        <v/>
      </c>
    </row>
    <row r="149" ht="15.75" customHeight="1" s="105">
      <c r="A149" s="31" t="n"/>
      <c r="B149" s="40" t="n"/>
      <c r="C149" s="40" t="n"/>
      <c r="D149" s="65" t="n"/>
      <c r="E149" s="56" t="n"/>
      <c r="F149" s="31" t="n"/>
      <c r="G149" s="31" t="n"/>
      <c r="H149" s="40" t="n"/>
      <c r="I149" s="42" t="n"/>
      <c r="J149" s="42" t="n"/>
      <c r="K149" s="66">
        <f>IFERROR(IF(J149="","",TODAY()-INT(J149)),"")</f>
        <v/>
      </c>
    </row>
    <row r="150" ht="15.75" customHeight="1" s="105">
      <c r="A150" s="31" t="n"/>
      <c r="B150" s="40" t="n"/>
      <c r="C150" s="40" t="n"/>
      <c r="D150" s="65" t="n"/>
      <c r="E150" s="56" t="n"/>
      <c r="F150" s="31" t="n"/>
      <c r="G150" s="31" t="n"/>
      <c r="H150" s="40" t="n"/>
      <c r="I150" s="42" t="n"/>
      <c r="J150" s="42" t="n"/>
      <c r="K150" s="66">
        <f>IFERROR(IF(J150="","",TODAY()-INT(J150)),"")</f>
        <v/>
      </c>
    </row>
    <row r="151" ht="15.75" customHeight="1" s="105">
      <c r="A151" s="31" t="n"/>
      <c r="B151" s="40" t="n"/>
      <c r="C151" s="40" t="n"/>
      <c r="D151" s="65" t="n"/>
      <c r="E151" s="56" t="n"/>
      <c r="F151" s="31" t="n"/>
      <c r="G151" s="31" t="n"/>
      <c r="H151" s="40" t="n"/>
      <c r="I151" s="42" t="n"/>
      <c r="J151" s="42" t="n"/>
      <c r="K151" s="66">
        <f>IFERROR(IF(J151="","",TODAY()-INT(J151)),"")</f>
        <v/>
      </c>
    </row>
    <row r="152" ht="15.75" customHeight="1" s="105">
      <c r="A152" s="31" t="n"/>
      <c r="B152" s="40" t="n"/>
      <c r="C152" s="40" t="n"/>
      <c r="D152" s="65" t="n"/>
      <c r="E152" s="56" t="n"/>
      <c r="F152" s="31" t="n"/>
      <c r="G152" s="31" t="n"/>
      <c r="H152" s="40" t="n"/>
      <c r="I152" s="42" t="n"/>
      <c r="J152" s="42" t="n"/>
      <c r="K152" s="66">
        <f>IFERROR(IF(J152="","",TODAY()-INT(J152)),"")</f>
        <v/>
      </c>
    </row>
    <row r="153" ht="15.75" customHeight="1" s="105">
      <c r="A153" s="31" t="n"/>
      <c r="B153" s="40" t="n"/>
      <c r="C153" s="40" t="n"/>
      <c r="D153" s="65" t="n"/>
      <c r="E153" s="56" t="n"/>
      <c r="F153" s="31" t="n"/>
      <c r="G153" s="31" t="n"/>
      <c r="H153" s="40" t="n"/>
      <c r="I153" s="42" t="n"/>
      <c r="J153" s="42" t="n"/>
      <c r="K153" s="66">
        <f>IFERROR(IF(J153="","",TODAY()-INT(J153)),"")</f>
        <v/>
      </c>
    </row>
    <row r="154" ht="15.75" customHeight="1" s="105">
      <c r="A154" s="31" t="n"/>
      <c r="B154" s="40" t="n"/>
      <c r="C154" s="40" t="n"/>
      <c r="D154" s="65" t="n"/>
      <c r="E154" s="56" t="n"/>
      <c r="F154" s="31" t="n"/>
      <c r="G154" s="31" t="n"/>
      <c r="H154" s="40" t="n"/>
      <c r="I154" s="42" t="n"/>
      <c r="J154" s="42" t="n"/>
      <c r="K154" s="66">
        <f>IFERROR(IF(J154="","",TODAY()-INT(J154)),"")</f>
        <v/>
      </c>
    </row>
    <row r="155" ht="15.75" customHeight="1" s="105">
      <c r="A155" s="31" t="n"/>
      <c r="B155" s="40" t="n"/>
      <c r="C155" s="40" t="n"/>
      <c r="D155" s="65" t="n"/>
      <c r="E155" s="56" t="n"/>
      <c r="F155" s="31" t="n"/>
      <c r="G155" s="31" t="n"/>
      <c r="H155" s="40" t="n"/>
      <c r="I155" s="42" t="n"/>
      <c r="J155" s="42" t="n"/>
      <c r="K155" s="66">
        <f>IFERROR(IF(J155="","",TODAY()-INT(J155)),"")</f>
        <v/>
      </c>
    </row>
    <row r="156" ht="15.75" customHeight="1" s="105">
      <c r="A156" s="31" t="n"/>
      <c r="B156" s="40" t="n"/>
      <c r="C156" s="40" t="n"/>
      <c r="D156" s="65" t="n"/>
      <c r="E156" s="56" t="n"/>
      <c r="F156" s="31" t="n"/>
      <c r="G156" s="31" t="n"/>
      <c r="H156" s="40" t="n"/>
      <c r="I156" s="42" t="n"/>
      <c r="J156" s="42" t="n"/>
      <c r="K156" s="66">
        <f>IFERROR(IF(J156="","",TODAY()-INT(J156)),"")</f>
        <v/>
      </c>
    </row>
    <row r="157" ht="15.75" customHeight="1" s="105">
      <c r="A157" s="31" t="n"/>
      <c r="B157" s="40" t="n"/>
      <c r="C157" s="40" t="n"/>
      <c r="D157" s="65" t="n"/>
      <c r="E157" s="56" t="n"/>
      <c r="F157" s="31" t="n"/>
      <c r="G157" s="31" t="n"/>
      <c r="H157" s="40" t="n"/>
      <c r="I157" s="42" t="n"/>
      <c r="J157" s="42" t="n"/>
      <c r="K157" s="66">
        <f>IFERROR(IF(J157="","",TODAY()-INT(J157)),"")</f>
        <v/>
      </c>
    </row>
    <row r="158" ht="15.75" customHeight="1" s="105">
      <c r="A158" s="31" t="n"/>
      <c r="B158" s="40" t="n"/>
      <c r="C158" s="40" t="n"/>
      <c r="D158" s="65" t="n"/>
      <c r="E158" s="56" t="n"/>
      <c r="F158" s="31" t="n"/>
      <c r="G158" s="31" t="n"/>
      <c r="H158" s="40" t="n"/>
      <c r="I158" s="42" t="n"/>
      <c r="J158" s="42" t="n"/>
      <c r="K158" s="66">
        <f>IFERROR(IF(J158="","",TODAY()-INT(J158)),"")</f>
        <v/>
      </c>
    </row>
    <row r="159" ht="15.75" customHeight="1" s="105">
      <c r="A159" s="31" t="n"/>
      <c r="B159" s="40" t="n"/>
      <c r="C159" s="40" t="n"/>
      <c r="D159" s="65" t="n"/>
      <c r="E159" s="56" t="n"/>
      <c r="F159" s="31" t="n"/>
      <c r="G159" s="31" t="n"/>
      <c r="H159" s="40" t="n"/>
      <c r="I159" s="42" t="n"/>
      <c r="J159" s="42" t="n"/>
      <c r="K159" s="66">
        <f>IFERROR(IF(J159="","",TODAY()-INT(J159)),"")</f>
        <v/>
      </c>
    </row>
    <row r="160" ht="15.75" customHeight="1" s="105">
      <c r="A160" s="31" t="n"/>
      <c r="B160" s="40" t="n"/>
      <c r="C160" s="40" t="n"/>
      <c r="D160" s="65" t="n"/>
      <c r="E160" s="56" t="n"/>
      <c r="F160" s="31" t="n"/>
      <c r="G160" s="31" t="n"/>
      <c r="H160" s="40" t="n"/>
      <c r="I160" s="42" t="n"/>
      <c r="J160" s="42" t="n"/>
      <c r="K160" s="66">
        <f>IFERROR(IF(J160="","",TODAY()-INT(J160)),"")</f>
        <v/>
      </c>
    </row>
    <row r="161" ht="15.75" customHeight="1" s="105">
      <c r="A161" s="31" t="n"/>
      <c r="B161" s="40" t="n"/>
      <c r="C161" s="40" t="n"/>
      <c r="D161" s="65" t="n"/>
      <c r="E161" s="56" t="n"/>
      <c r="F161" s="31" t="n"/>
      <c r="G161" s="31" t="n"/>
      <c r="H161" s="40" t="n"/>
      <c r="I161" s="42" t="n"/>
      <c r="J161" s="42" t="n"/>
      <c r="K161" s="66">
        <f>IFERROR(IF(J161="","",TODAY()-INT(J161)),"")</f>
        <v/>
      </c>
    </row>
    <row r="162" ht="15.75" customHeight="1" s="105">
      <c r="A162" s="31" t="n"/>
      <c r="B162" s="40" t="n"/>
      <c r="C162" s="40" t="n"/>
      <c r="D162" s="65" t="n"/>
      <c r="E162" s="56" t="n"/>
      <c r="F162" s="31" t="n"/>
      <c r="G162" s="31" t="n"/>
      <c r="H162" s="40" t="n"/>
      <c r="I162" s="42" t="n"/>
      <c r="J162" s="42" t="n"/>
      <c r="K162" s="66">
        <f>IFERROR(IF(J162="","",TODAY()-INT(J162)),"")</f>
        <v/>
      </c>
    </row>
    <row r="163" ht="15.75" customHeight="1" s="105">
      <c r="A163" s="31" t="n"/>
      <c r="B163" s="40" t="n"/>
      <c r="C163" s="40" t="n"/>
      <c r="D163" s="65" t="n"/>
      <c r="E163" s="56" t="n"/>
      <c r="F163" s="31" t="n"/>
      <c r="G163" s="31" t="n"/>
      <c r="H163" s="40" t="n"/>
      <c r="I163" s="42" t="n"/>
      <c r="J163" s="42" t="n"/>
      <c r="K163" s="66">
        <f>IFERROR(IF(J163="","",TODAY()-INT(J163)),"")</f>
        <v/>
      </c>
    </row>
    <row r="164" ht="15.75" customHeight="1" s="105">
      <c r="A164" s="31" t="n"/>
      <c r="B164" s="40" t="n"/>
      <c r="C164" s="40" t="n"/>
      <c r="D164" s="65" t="n"/>
      <c r="E164" s="56" t="n"/>
      <c r="F164" s="31" t="n"/>
      <c r="G164" s="31" t="n"/>
      <c r="H164" s="40" t="n"/>
      <c r="I164" s="42" t="n"/>
      <c r="J164" s="42" t="n"/>
      <c r="K164" s="66">
        <f>IFERROR(IF(J164="","",TODAY()-INT(J164)),"")</f>
        <v/>
      </c>
    </row>
    <row r="165" ht="15.75" customHeight="1" s="105">
      <c r="A165" s="31" t="n"/>
      <c r="B165" s="40" t="n"/>
      <c r="C165" s="40" t="n"/>
      <c r="D165" s="65" t="n"/>
      <c r="E165" s="56" t="n"/>
      <c r="F165" s="31" t="n"/>
      <c r="G165" s="31" t="n"/>
      <c r="H165" s="40" t="n"/>
      <c r="I165" s="42" t="n"/>
      <c r="J165" s="42" t="n"/>
      <c r="K165" s="66">
        <f>IFERROR(IF(J165="","",TODAY()-INT(J165)),"")</f>
        <v/>
      </c>
    </row>
    <row r="166" ht="15.75" customHeight="1" s="105">
      <c r="A166" s="31" t="n"/>
      <c r="B166" s="40" t="n"/>
      <c r="C166" s="40" t="n"/>
      <c r="D166" s="65" t="n"/>
      <c r="E166" s="56" t="n"/>
      <c r="F166" s="31" t="n"/>
      <c r="G166" s="31" t="n"/>
      <c r="H166" s="40" t="n"/>
      <c r="I166" s="42" t="n"/>
      <c r="J166" s="42" t="n"/>
      <c r="K166" s="66">
        <f>IFERROR(IF(J166="","",TODAY()-INT(J166)),"")</f>
        <v/>
      </c>
    </row>
    <row r="167" ht="15.75" customHeight="1" s="105">
      <c r="A167" s="31" t="n"/>
      <c r="B167" s="40" t="n"/>
      <c r="C167" s="40" t="n"/>
      <c r="D167" s="65" t="n"/>
      <c r="E167" s="56" t="n"/>
      <c r="F167" s="31" t="n"/>
      <c r="G167" s="31" t="n"/>
      <c r="H167" s="40" t="n"/>
      <c r="I167" s="42" t="n"/>
      <c r="J167" s="42" t="n"/>
      <c r="K167" s="66">
        <f>IFERROR(IF(J167="","",TODAY()-INT(J167)),"")</f>
        <v/>
      </c>
    </row>
    <row r="168" ht="15.75" customHeight="1" s="105">
      <c r="A168" s="31" t="n"/>
      <c r="B168" s="40" t="n"/>
      <c r="C168" s="40" t="n"/>
      <c r="D168" s="65" t="n"/>
      <c r="E168" s="56" t="n"/>
      <c r="F168" s="31" t="n"/>
      <c r="G168" s="31" t="n"/>
      <c r="H168" s="40" t="n"/>
      <c r="I168" s="42" t="n"/>
      <c r="J168" s="42" t="n"/>
      <c r="K168" s="66">
        <f>IFERROR(IF(J168="","",TODAY()-INT(J168)),"")</f>
        <v/>
      </c>
    </row>
    <row r="169" ht="15.75" customHeight="1" s="105">
      <c r="A169" s="31" t="n"/>
      <c r="B169" s="40" t="n"/>
      <c r="C169" s="40" t="n"/>
      <c r="D169" s="65" t="n"/>
      <c r="E169" s="56" t="n"/>
      <c r="F169" s="31" t="n"/>
      <c r="G169" s="31" t="n"/>
      <c r="H169" s="40" t="n"/>
      <c r="I169" s="42" t="n"/>
      <c r="J169" s="42" t="n"/>
      <c r="K169" s="66">
        <f>IFERROR(IF(J169="","",TODAY()-INT(J169)),"")</f>
        <v/>
      </c>
    </row>
    <row r="170" ht="15.75" customHeight="1" s="105">
      <c r="A170" s="31" t="n"/>
      <c r="B170" s="40" t="n"/>
      <c r="C170" s="40" t="n"/>
      <c r="D170" s="65" t="n"/>
      <c r="E170" s="56" t="n"/>
      <c r="F170" s="31" t="n"/>
      <c r="G170" s="31" t="n"/>
      <c r="H170" s="40" t="n"/>
      <c r="I170" s="42" t="n"/>
      <c r="J170" s="42" t="n"/>
      <c r="K170" s="66">
        <f>IFERROR(IF(J170="","",TODAY()-INT(J170)),"")</f>
        <v/>
      </c>
    </row>
    <row r="171" ht="15.75" customHeight="1" s="105">
      <c r="A171" s="31" t="n"/>
      <c r="B171" s="40" t="n"/>
      <c r="C171" s="40" t="n"/>
      <c r="D171" s="65" t="n"/>
      <c r="E171" s="56" t="n"/>
      <c r="F171" s="31" t="n"/>
      <c r="G171" s="31" t="n"/>
      <c r="H171" s="40" t="n"/>
      <c r="I171" s="42" t="n"/>
      <c r="J171" s="42" t="n"/>
      <c r="K171" s="66">
        <f>IFERROR(IF(J171="","",TODAY()-INT(J171)),"")</f>
        <v/>
      </c>
    </row>
    <row r="172" ht="15.75" customHeight="1" s="105">
      <c r="A172" s="31" t="n"/>
      <c r="B172" s="40" t="n"/>
      <c r="C172" s="40" t="n"/>
      <c r="D172" s="65" t="n"/>
      <c r="E172" s="56" t="n"/>
      <c r="F172" s="31" t="n"/>
      <c r="G172" s="31" t="n"/>
      <c r="H172" s="40" t="n"/>
      <c r="I172" s="42" t="n"/>
      <c r="J172" s="42" t="n"/>
      <c r="K172" s="66">
        <f>IFERROR(IF(J172="","",TODAY()-INT(J172)),"")</f>
        <v/>
      </c>
    </row>
    <row r="173" ht="15.75" customHeight="1" s="105">
      <c r="A173" s="31" t="n"/>
      <c r="B173" s="40" t="n"/>
      <c r="C173" s="40" t="n"/>
      <c r="D173" s="65" t="n"/>
      <c r="E173" s="56" t="n"/>
      <c r="F173" s="31" t="n"/>
      <c r="G173" s="31" t="n"/>
      <c r="H173" s="40" t="n"/>
      <c r="I173" s="42" t="n"/>
      <c r="J173" s="42" t="n"/>
      <c r="K173" s="66">
        <f>IFERROR(IF(J173="","",TODAY()-INT(J173)),"")</f>
        <v/>
      </c>
    </row>
    <row r="174" ht="15.75" customHeight="1" s="105">
      <c r="A174" s="31" t="n"/>
      <c r="B174" s="40" t="n"/>
      <c r="C174" s="40" t="n"/>
      <c r="D174" s="65" t="n"/>
      <c r="E174" s="56" t="n"/>
      <c r="F174" s="31" t="n"/>
      <c r="G174" s="31" t="n"/>
      <c r="H174" s="40" t="n"/>
      <c r="I174" s="42" t="n"/>
      <c r="J174" s="42" t="n"/>
      <c r="K174" s="66">
        <f>IFERROR(IF(J174="","",TODAY()-INT(J174)),"")</f>
        <v/>
      </c>
    </row>
    <row r="175" ht="15.75" customHeight="1" s="105">
      <c r="A175" s="31" t="n"/>
      <c r="B175" s="40" t="n"/>
      <c r="C175" s="40" t="n"/>
      <c r="D175" s="65" t="n"/>
      <c r="E175" s="56" t="n"/>
      <c r="F175" s="31" t="n"/>
      <c r="G175" s="31" t="n"/>
      <c r="H175" s="40" t="n"/>
      <c r="I175" s="42" t="n"/>
      <c r="J175" s="42" t="n"/>
      <c r="K175" s="66">
        <f>IFERROR(IF(J175="","",TODAY()-INT(J175)),"")</f>
        <v/>
      </c>
    </row>
    <row r="176" ht="15.75" customHeight="1" s="105">
      <c r="A176" s="31" t="n"/>
      <c r="B176" s="40" t="n"/>
      <c r="C176" s="40" t="n"/>
      <c r="D176" s="65" t="n"/>
      <c r="E176" s="56" t="n"/>
      <c r="F176" s="31" t="n"/>
      <c r="G176" s="31" t="n"/>
      <c r="H176" s="40" t="n"/>
      <c r="I176" s="42" t="n"/>
      <c r="J176" s="42" t="n"/>
      <c r="K176" s="66">
        <f>IFERROR(IF(J176="","",TODAY()-INT(J176)),"")</f>
        <v/>
      </c>
    </row>
    <row r="177" ht="15.75" customHeight="1" s="105">
      <c r="A177" s="31" t="n"/>
      <c r="B177" s="40" t="n"/>
      <c r="C177" s="40" t="n"/>
      <c r="D177" s="65" t="n"/>
      <c r="E177" s="56" t="n"/>
      <c r="F177" s="31" t="n"/>
      <c r="G177" s="31" t="n"/>
      <c r="H177" s="40" t="n"/>
      <c r="I177" s="42" t="n"/>
      <c r="J177" s="42" t="n"/>
      <c r="K177" s="66">
        <f>IFERROR(IF(J177="","",TODAY()-INT(J177)),"")</f>
        <v/>
      </c>
    </row>
    <row r="178" ht="15.75" customHeight="1" s="105">
      <c r="A178" s="31" t="n"/>
      <c r="B178" s="40" t="n"/>
      <c r="C178" s="40" t="n"/>
      <c r="D178" s="65" t="n"/>
      <c r="E178" s="56" t="n"/>
      <c r="F178" s="31" t="n"/>
      <c r="G178" s="31" t="n"/>
      <c r="H178" s="40" t="n"/>
      <c r="I178" s="42" t="n"/>
      <c r="J178" s="42" t="n"/>
      <c r="K178" s="66">
        <f>IFERROR(IF(J178="","",TODAY()-INT(J178)),"")</f>
        <v/>
      </c>
    </row>
    <row r="179" ht="15.75" customHeight="1" s="105">
      <c r="A179" s="31" t="n"/>
      <c r="B179" s="40" t="n"/>
      <c r="C179" s="40" t="n"/>
      <c r="D179" s="65" t="n"/>
      <c r="E179" s="56" t="n"/>
      <c r="F179" s="31" t="n"/>
      <c r="G179" s="31" t="n"/>
      <c r="H179" s="40" t="n"/>
      <c r="I179" s="42" t="n"/>
      <c r="J179" s="42" t="n"/>
      <c r="K179" s="66">
        <f>IFERROR(IF(J179="","",TODAY()-INT(J179)),"")</f>
        <v/>
      </c>
    </row>
    <row r="180" ht="15.75" customHeight="1" s="105">
      <c r="A180" s="31" t="n"/>
      <c r="B180" s="40" t="n"/>
      <c r="C180" s="40" t="n"/>
      <c r="D180" s="65" t="n"/>
      <c r="E180" s="56" t="n"/>
      <c r="F180" s="31" t="n"/>
      <c r="G180" s="31" t="n"/>
      <c r="H180" s="40" t="n"/>
      <c r="I180" s="42" t="n"/>
      <c r="J180" s="42" t="n"/>
      <c r="K180" s="66">
        <f>IFERROR(IF(J180="","",TODAY()-INT(J180)),"")</f>
        <v/>
      </c>
    </row>
    <row r="181" ht="15.75" customHeight="1" s="105">
      <c r="A181" s="31" t="n"/>
      <c r="B181" s="40" t="n"/>
      <c r="C181" s="40" t="n"/>
      <c r="D181" s="65" t="n"/>
      <c r="E181" s="56" t="n"/>
      <c r="F181" s="31" t="n"/>
      <c r="G181" s="31" t="n"/>
      <c r="H181" s="40" t="n"/>
      <c r="I181" s="42" t="n"/>
      <c r="J181" s="42" t="n"/>
      <c r="K181" s="66">
        <f>IFERROR(IF(J181="","",TODAY()-INT(J181)),"")</f>
        <v/>
      </c>
    </row>
    <row r="182" ht="15.75" customHeight="1" s="105">
      <c r="A182" s="31" t="n"/>
      <c r="B182" s="40" t="n"/>
      <c r="C182" s="40" t="n"/>
      <c r="D182" s="65" t="n"/>
      <c r="E182" s="56" t="n"/>
      <c r="F182" s="31" t="n"/>
      <c r="G182" s="31" t="n"/>
      <c r="H182" s="40" t="n"/>
      <c r="I182" s="42" t="n"/>
      <c r="J182" s="42" t="n"/>
      <c r="K182" s="66">
        <f>IFERROR(IF(J182="","",TODAY()-INT(J182)),"")</f>
        <v/>
      </c>
    </row>
    <row r="183" ht="15.75" customHeight="1" s="105">
      <c r="A183" s="31" t="n"/>
      <c r="B183" s="40" t="n"/>
      <c r="C183" s="40" t="n"/>
      <c r="D183" s="65" t="n"/>
      <c r="E183" s="56" t="n"/>
      <c r="F183" s="31" t="n"/>
      <c r="G183" s="31" t="n"/>
      <c r="H183" s="40" t="n"/>
      <c r="I183" s="42" t="n"/>
      <c r="J183" s="42" t="n"/>
      <c r="K183" s="66">
        <f>IFERROR(IF(J183="","",TODAY()-INT(J183)),"")</f>
        <v/>
      </c>
    </row>
    <row r="184" ht="15.75" customHeight="1" s="105">
      <c r="A184" s="31" t="n"/>
      <c r="B184" s="40" t="n"/>
      <c r="C184" s="40" t="n"/>
      <c r="D184" s="65" t="n"/>
      <c r="E184" s="56" t="n"/>
      <c r="F184" s="31" t="n"/>
      <c r="G184" s="31" t="n"/>
      <c r="H184" s="40" t="n"/>
      <c r="I184" s="42" t="n"/>
      <c r="J184" s="42" t="n"/>
      <c r="K184" s="66">
        <f>IFERROR(IF(J184="","",TODAY()-INT(J184)),"")</f>
        <v/>
      </c>
    </row>
    <row r="185" ht="15.75" customHeight="1" s="105">
      <c r="A185" s="31" t="n"/>
      <c r="B185" s="40" t="n"/>
      <c r="C185" s="40" t="n"/>
      <c r="D185" s="65" t="n"/>
      <c r="E185" s="56" t="n"/>
      <c r="F185" s="31" t="n"/>
      <c r="G185" s="31" t="n"/>
      <c r="H185" s="40" t="n"/>
      <c r="I185" s="42" t="n"/>
      <c r="J185" s="42" t="n"/>
      <c r="K185" s="66">
        <f>IFERROR(IF(J185="","",TODAY()-INT(J185)),"")</f>
        <v/>
      </c>
    </row>
    <row r="186" ht="15.75" customHeight="1" s="105">
      <c r="A186" s="31" t="n"/>
      <c r="B186" s="40" t="n"/>
      <c r="C186" s="40" t="n"/>
      <c r="D186" s="65" t="n"/>
      <c r="E186" s="56" t="n"/>
      <c r="F186" s="31" t="n"/>
      <c r="G186" s="31" t="n"/>
      <c r="H186" s="40" t="n"/>
      <c r="I186" s="42" t="n"/>
      <c r="J186" s="42" t="n"/>
      <c r="K186" s="66">
        <f>IFERROR(IF(J186="","",TODAY()-INT(J186)),"")</f>
        <v/>
      </c>
    </row>
    <row r="187" ht="15.75" customHeight="1" s="105">
      <c r="A187" s="31" t="n"/>
      <c r="B187" s="40" t="n"/>
      <c r="C187" s="40" t="n"/>
      <c r="D187" s="65" t="n"/>
      <c r="E187" s="56" t="n"/>
      <c r="F187" s="31" t="n"/>
      <c r="G187" s="31" t="n"/>
      <c r="H187" s="40" t="n"/>
      <c r="I187" s="42" t="n"/>
      <c r="J187" s="42" t="n"/>
      <c r="K187" s="66">
        <f>IFERROR(IF(J187="","",TODAY()-INT(J187)),"")</f>
        <v/>
      </c>
    </row>
    <row r="188" ht="15.75" customHeight="1" s="105">
      <c r="A188" s="31" t="n"/>
      <c r="B188" s="40" t="n"/>
      <c r="C188" s="40" t="n"/>
      <c r="D188" s="65" t="n"/>
      <c r="E188" s="56" t="n"/>
      <c r="F188" s="31" t="n"/>
      <c r="G188" s="31" t="n"/>
      <c r="H188" s="40" t="n"/>
      <c r="I188" s="42" t="n"/>
      <c r="J188" s="42" t="n"/>
      <c r="K188" s="66">
        <f>IFERROR(IF(J188="","",TODAY()-INT(J188)),"")</f>
        <v/>
      </c>
    </row>
    <row r="189" ht="15.75" customHeight="1" s="105">
      <c r="A189" s="31" t="n"/>
      <c r="B189" s="40" t="n"/>
      <c r="C189" s="40" t="n"/>
      <c r="D189" s="65" t="n"/>
      <c r="E189" s="56" t="n"/>
      <c r="F189" s="31" t="n"/>
      <c r="G189" s="31" t="n"/>
      <c r="H189" s="40" t="n"/>
      <c r="I189" s="42" t="n"/>
      <c r="J189" s="42" t="n"/>
      <c r="K189" s="66">
        <f>IFERROR(IF(J189="","",TODAY()-INT(J189)),"")</f>
        <v/>
      </c>
    </row>
    <row r="190" ht="15.75" customHeight="1" s="105">
      <c r="A190" s="31" t="n"/>
      <c r="B190" s="40" t="n"/>
      <c r="C190" s="40" t="n"/>
      <c r="D190" s="65" t="n"/>
      <c r="E190" s="56" t="n"/>
      <c r="F190" s="31" t="n"/>
      <c r="G190" s="31" t="n"/>
      <c r="H190" s="40" t="n"/>
      <c r="I190" s="42" t="n"/>
      <c r="J190" s="42" t="n"/>
      <c r="K190" s="66">
        <f>IFERROR(IF(J190="","",TODAY()-INT(J190)),"")</f>
        <v/>
      </c>
    </row>
    <row r="191" ht="15.75" customHeight="1" s="105">
      <c r="A191" s="31" t="n"/>
      <c r="B191" s="40" t="n"/>
      <c r="C191" s="40" t="n"/>
      <c r="D191" s="65" t="n"/>
      <c r="E191" s="56" t="n"/>
      <c r="F191" s="31" t="n"/>
      <c r="G191" s="31" t="n"/>
      <c r="H191" s="40" t="n"/>
      <c r="I191" s="42" t="n"/>
      <c r="J191" s="42" t="n"/>
      <c r="K191" s="66">
        <f>IFERROR(IF(J191="","",TODAY()-INT(J191)),"")</f>
        <v/>
      </c>
    </row>
    <row r="192" ht="15.75" customHeight="1" s="105">
      <c r="A192" s="31" t="n"/>
      <c r="B192" s="40" t="n"/>
      <c r="C192" s="40" t="n"/>
      <c r="D192" s="65" t="n"/>
      <c r="E192" s="56" t="n"/>
      <c r="F192" s="31" t="n"/>
      <c r="G192" s="31" t="n"/>
      <c r="H192" s="40" t="n"/>
      <c r="I192" s="42" t="n"/>
      <c r="J192" s="42" t="n"/>
      <c r="K192" s="66">
        <f>IFERROR(IF(J192="","",TODAY()-INT(J192)),"")</f>
        <v/>
      </c>
    </row>
    <row r="193" ht="15.75" customHeight="1" s="105">
      <c r="A193" s="31" t="n"/>
      <c r="B193" s="40" t="n"/>
      <c r="C193" s="40" t="n"/>
      <c r="D193" s="65" t="n"/>
      <c r="E193" s="56" t="n"/>
      <c r="F193" s="31" t="n"/>
      <c r="G193" s="31" t="n"/>
      <c r="H193" s="40" t="n"/>
      <c r="I193" s="42" t="n"/>
      <c r="J193" s="42" t="n"/>
      <c r="K193" s="66">
        <f>IFERROR(IF(J193="","",TODAY()-INT(J193)),"")</f>
        <v/>
      </c>
    </row>
    <row r="194" ht="15.75" customHeight="1" s="105">
      <c r="A194" s="31" t="n"/>
      <c r="B194" s="40" t="n"/>
      <c r="C194" s="40" t="n"/>
      <c r="D194" s="65" t="n"/>
      <c r="E194" s="56" t="n"/>
      <c r="F194" s="31" t="n"/>
      <c r="G194" s="31" t="n"/>
      <c r="H194" s="40" t="n"/>
      <c r="I194" s="42" t="n"/>
      <c r="J194" s="42" t="n"/>
      <c r="K194" s="66">
        <f>IFERROR(IF(J194="","",TODAY()-INT(J194)),"")</f>
        <v/>
      </c>
    </row>
    <row r="195" ht="15.75" customHeight="1" s="105">
      <c r="A195" s="31" t="n"/>
      <c r="B195" s="40" t="n"/>
      <c r="C195" s="40" t="n"/>
      <c r="D195" s="65" t="n"/>
      <c r="E195" s="56" t="n"/>
      <c r="F195" s="31" t="n"/>
      <c r="G195" s="31" t="n"/>
      <c r="H195" s="40" t="n"/>
      <c r="I195" s="42" t="n"/>
      <c r="J195" s="42" t="n"/>
      <c r="K195" s="66">
        <f>IFERROR(IF(J195="","",TODAY()-INT(J195)),"")</f>
        <v/>
      </c>
    </row>
    <row r="196" ht="15.75" customHeight="1" s="105">
      <c r="A196" s="31" t="n"/>
      <c r="B196" s="40" t="n"/>
      <c r="C196" s="40" t="n"/>
      <c r="D196" s="65" t="n"/>
      <c r="E196" s="56" t="n"/>
      <c r="F196" s="31" t="n"/>
      <c r="G196" s="31" t="n"/>
      <c r="H196" s="40" t="n"/>
      <c r="I196" s="42" t="n"/>
      <c r="J196" s="42" t="n"/>
      <c r="K196" s="66">
        <f>IFERROR(IF(J196="","",TODAY()-INT(J196)),"")</f>
        <v/>
      </c>
    </row>
    <row r="197" ht="15.75" customHeight="1" s="105">
      <c r="A197" s="31" t="n"/>
      <c r="B197" s="40" t="n"/>
      <c r="C197" s="40" t="n"/>
      <c r="D197" s="65" t="n"/>
      <c r="E197" s="56" t="n"/>
      <c r="F197" s="31" t="n"/>
      <c r="G197" s="31" t="n"/>
      <c r="H197" s="40" t="n"/>
      <c r="I197" s="42" t="n"/>
      <c r="J197" s="42" t="n"/>
      <c r="K197" s="66">
        <f>IFERROR(IF(J197="","",TODAY()-INT(J197)),"")</f>
        <v/>
      </c>
    </row>
    <row r="198" ht="15.75" customHeight="1" s="105">
      <c r="A198" s="31" t="n"/>
      <c r="B198" s="40" t="n"/>
      <c r="C198" s="40" t="n"/>
      <c r="D198" s="65" t="n"/>
      <c r="E198" s="56" t="n"/>
      <c r="F198" s="31" t="n"/>
      <c r="G198" s="31" t="n"/>
      <c r="H198" s="40" t="n"/>
      <c r="I198" s="42" t="n"/>
      <c r="J198" s="42" t="n"/>
      <c r="K198" s="66">
        <f>IFERROR(IF(J198="","",TODAY()-INT(J198)),"")</f>
        <v/>
      </c>
    </row>
    <row r="199" ht="15.75" customHeight="1" s="105">
      <c r="A199" s="31" t="n"/>
      <c r="B199" s="40" t="n"/>
      <c r="C199" s="40" t="n"/>
      <c r="D199" s="65" t="n"/>
      <c r="E199" s="56" t="n"/>
      <c r="F199" s="31" t="n"/>
      <c r="G199" s="31" t="n"/>
      <c r="H199" s="40" t="n"/>
      <c r="I199" s="42" t="n"/>
      <c r="J199" s="42" t="n"/>
      <c r="K199" s="66">
        <f>IFERROR(IF(J199="","",TODAY()-INT(J199)),"")</f>
        <v/>
      </c>
    </row>
    <row r="200" ht="15.75" customHeight="1" s="105">
      <c r="A200" s="31" t="n"/>
      <c r="B200" s="40" t="n"/>
      <c r="C200" s="40" t="n"/>
      <c r="D200" s="65" t="n"/>
      <c r="E200" s="56" t="n"/>
      <c r="F200" s="31" t="n"/>
      <c r="G200" s="31" t="n"/>
      <c r="H200" s="40" t="n"/>
      <c r="I200" s="42" t="n"/>
      <c r="J200" s="42" t="n"/>
      <c r="K200" s="66">
        <f>IFERROR(IF(J200="","",TODAY()-INT(J200)),"")</f>
        <v/>
      </c>
    </row>
    <row r="201" ht="15.75" customHeight="1" s="105">
      <c r="A201" s="31" t="n"/>
      <c r="B201" s="40" t="n"/>
      <c r="C201" s="40" t="n"/>
      <c r="D201" s="65" t="n"/>
      <c r="E201" s="56" t="n"/>
      <c r="F201" s="31" t="n"/>
      <c r="G201" s="31" t="n"/>
      <c r="H201" s="40" t="n"/>
      <c r="I201" s="42" t="n"/>
      <c r="J201" s="42" t="n"/>
      <c r="K201" s="66">
        <f>IFERROR(IF(J201="","",TODAY()-INT(J201)),"")</f>
        <v/>
      </c>
    </row>
    <row r="202" ht="15.75" customHeight="1" s="105">
      <c r="A202" s="31" t="n"/>
      <c r="B202" s="40" t="n"/>
      <c r="C202" s="40" t="n"/>
      <c r="D202" s="65" t="n"/>
      <c r="E202" s="56" t="n"/>
      <c r="F202" s="31" t="n"/>
      <c r="G202" s="31" t="n"/>
      <c r="H202" s="40" t="n"/>
      <c r="I202" s="42" t="n"/>
      <c r="J202" s="42" t="n"/>
      <c r="K202" s="66">
        <f>IFERROR(IF(J202="","",TODAY()-INT(J202)),"")</f>
        <v/>
      </c>
    </row>
    <row r="203" ht="15.75" customHeight="1" s="105">
      <c r="A203" s="31" t="n"/>
      <c r="B203" s="40" t="n"/>
      <c r="C203" s="40" t="n"/>
      <c r="D203" s="65" t="n"/>
      <c r="E203" s="56" t="n"/>
      <c r="F203" s="31" t="n"/>
      <c r="G203" s="31" t="n"/>
      <c r="H203" s="40" t="n"/>
      <c r="I203" s="42" t="n"/>
      <c r="J203" s="42" t="n"/>
      <c r="K203" s="66">
        <f>IFERROR(IF(J203="","",TODAY()-INT(J203)),"")</f>
        <v/>
      </c>
    </row>
    <row r="204" ht="15.75" customHeight="1" s="105"/>
    <row r="205" ht="15.75" customHeight="1" s="105"/>
    <row r="206" ht="15.75" customHeight="1" s="105"/>
    <row r="207" ht="15.75" customHeight="1" s="105"/>
    <row r="208" ht="15.75" customHeight="1" s="105"/>
    <row r="209" ht="15.75" customHeight="1" s="105"/>
    <row r="210" ht="15.75" customHeight="1" s="105"/>
    <row r="211" ht="15.75" customHeight="1" s="105"/>
    <row r="212" ht="15.75" customHeight="1" s="105"/>
    <row r="213" ht="15.75" customHeight="1" s="105"/>
    <row r="214" ht="15.75" customHeight="1" s="105"/>
    <row r="215" ht="15.75" customHeight="1" s="105"/>
    <row r="216" ht="15.75" customHeight="1" s="105"/>
    <row r="217" ht="15.75" customHeight="1" s="105"/>
    <row r="218" ht="15.75" customHeight="1" s="105"/>
    <row r="219" ht="15.75" customHeight="1" s="105"/>
    <row r="220" ht="15.75" customHeight="1" s="105"/>
    <row r="221" ht="15.75" customHeight="1" s="105"/>
    <row r="222" ht="15.75" customHeight="1" s="105"/>
    <row r="223" ht="15.75" customHeight="1" s="105"/>
    <row r="224" ht="15.75" customHeight="1" s="105"/>
    <row r="225" ht="15.75" customHeight="1" s="105"/>
    <row r="226" ht="15.75" customHeight="1" s="105"/>
    <row r="227" ht="15.75" customHeight="1" s="105"/>
    <row r="228" ht="15.75" customHeight="1" s="105"/>
    <row r="229" ht="15.75" customHeight="1" s="105"/>
    <row r="230" ht="15.75" customHeight="1" s="105"/>
    <row r="231" ht="15.75" customHeight="1" s="105"/>
    <row r="232" ht="15.75" customHeight="1" s="105"/>
    <row r="233" ht="15.75" customHeight="1" s="105"/>
    <row r="234" ht="15.75" customHeight="1" s="105"/>
    <row r="235" ht="15.75" customHeight="1" s="105"/>
    <row r="236" ht="15.75" customHeight="1" s="105"/>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row r="990" ht="15.75" customHeight="1" s="105"/>
    <row r="991" ht="15.75" customHeight="1" s="105"/>
    <row r="992" ht="15.75" customHeight="1" s="105"/>
    <row r="993" ht="15.75" customHeight="1" s="105"/>
    <row r="994" ht="15.75" customHeight="1" s="105"/>
    <row r="995" ht="15.75" customHeight="1" s="105"/>
    <row r="996" ht="15.75" customHeight="1" s="105"/>
    <row r="997" ht="15.75" customHeight="1" s="105"/>
    <row r="998" ht="15.75" customHeight="1" s="105"/>
    <row r="999" ht="15.75" customHeight="1" s="105"/>
    <row r="1000" ht="15.75" customHeight="1" s="105"/>
  </sheetData>
  <mergeCells count="2">
    <mergeCell ref="A2:K2"/>
    <mergeCell ref="A1:K1"/>
  </mergeCells>
  <conditionalFormatting sqref="K4:K103">
    <cfRule type="cellIs" priority="1" operator="greaterThan" dxfId="0">
      <formula>0</formula>
    </cfRule>
    <cfRule type="cellIs" priority="2" operator="lessThanOrEqual" dxfId="1">
      <formula>0</formula>
    </cfRule>
  </conditionalFormatting>
  <conditionalFormatting sqref="F4:F203">
    <cfRule type="colorScale" priority="3">
      <colorScale>
        <cfvo type="formula" val="0"/>
        <cfvo type="formula" val="50"/>
        <cfvo type="formula" val="100"/>
        <color rgb="FFEF4444"/>
        <color rgb="FFF59E0B"/>
        <color rgb="FF21E68A"/>
      </colorScale>
    </cfRule>
  </conditionalFormatting>
  <pageMargins left="0.75" right="0.75" top="1" bottom="1" header="0" footer="0"/>
  <pageSetup orientation="portrait" paperSize="9"/>
</worksheet>
</file>

<file path=xl/worksheets/sheet4.xml><?xml version="1.0" encoding="utf-8"?>
<worksheet xmlns="http://schemas.openxmlformats.org/spreadsheetml/2006/main">
  <sheetPr>
    <tabColor rgb="FF8B5CF6"/>
    <outlinePr summaryBelow="1" summaryRight="1"/>
    <pageSetUpPr/>
  </sheetPr>
  <dimension ref="A1:I29"/>
  <sheetViews>
    <sheetView showGridLines="0" workbookViewId="0">
      <selection activeCell="A1" sqref="A1"/>
    </sheetView>
  </sheetViews>
  <sheetFormatPr baseColWidth="8" defaultColWidth="14.43" defaultRowHeight="15" customHeight="1"/>
  <cols>
    <col width="3" customWidth="1" style="105" min="1" max="1"/>
    <col width="28" customWidth="1" style="105" min="2" max="2"/>
    <col width="18" customWidth="1" style="105" min="3" max="5"/>
    <col width="3" customWidth="1" style="105" min="6" max="6"/>
    <col width="22" customWidth="1" style="105" min="7" max="7"/>
    <col width="16" customWidth="1" style="105" min="8" max="8"/>
    <col width="3" customWidth="1" style="105" min="9" max="9"/>
    <col width="8.710000000000001" customWidth="1" style="105" min="10" max="26"/>
  </cols>
  <sheetData>
    <row r="1" ht="39.75" customHeight="1" s="105">
      <c r="A1" s="117" t="inlineStr">
        <is>
          <t>📊  COMMAND OS  ·  LIVE PIPELINE DASHBOARD  ·  AUTO-UPDATES AS YOU WORK</t>
        </is>
      </c>
      <c r="B1" s="107" t="n"/>
      <c r="C1" s="107" t="n"/>
      <c r="D1" s="107" t="n"/>
      <c r="E1" s="107" t="n"/>
      <c r="F1" s="107" t="n"/>
      <c r="G1" s="107" t="n"/>
      <c r="H1" s="107" t="n"/>
      <c r="I1" s="107" t="n"/>
    </row>
    <row r="2" ht="13.5" customHeight="1" s="105">
      <c r="A2" s="68" t="n"/>
      <c r="B2" s="68" t="n"/>
      <c r="C2" s="68" t="n"/>
      <c r="D2" s="68" t="n"/>
      <c r="E2" s="68" t="n"/>
      <c r="F2" s="68" t="n"/>
      <c r="G2" s="68" t="n"/>
      <c r="H2" s="68" t="n"/>
      <c r="I2" s="68" t="n"/>
    </row>
    <row r="3" ht="15.75" customHeight="1" s="105">
      <c r="A3" s="68" t="n"/>
      <c r="B3" s="118" t="inlineStr">
        <is>
          <t xml:space="preserve">  CALL ACTIVITY</t>
        </is>
      </c>
      <c r="F3" s="68" t="n"/>
      <c r="G3" s="118" t="inlineStr">
        <is>
          <t xml:space="preserve">  PIPELINE FUNNEL</t>
        </is>
      </c>
      <c r="I3" s="68" t="n"/>
    </row>
    <row r="4" ht="19.5" customHeight="1" s="105">
      <c r="A4" s="68" t="n"/>
      <c r="B4" s="119" t="inlineStr">
        <is>
          <t>TOTAL LEADS ENTERED</t>
        </is>
      </c>
      <c r="C4" s="107" t="n"/>
      <c r="D4" s="119" t="inlineStr">
        <is>
          <t>CALLS MADE</t>
        </is>
      </c>
      <c r="E4" s="107" t="n"/>
      <c r="F4" s="68" t="n"/>
      <c r="G4" s="73" t="inlineStr">
        <is>
          <t>🔥 HOT (Score ≥80)</t>
        </is>
      </c>
      <c r="H4" s="74">
        <f>COUNTIF('⚡ COMMAND TRACKER'!AA5:AA204,"&gt;="&amp;80)</f>
        <v/>
      </c>
      <c r="I4" s="68" t="n"/>
    </row>
    <row r="5" ht="19.5" customHeight="1" s="105">
      <c r="A5" s="68" t="n"/>
      <c r="B5" s="120">
        <f>COUNTIF('⚡ COMMAND TRACKER'!A5:A204,"&lt;&gt;")</f>
        <v/>
      </c>
      <c r="C5" s="121" t="n"/>
      <c r="D5" s="120">
        <f>COUNTA('⚡ COMMAND TRACKER'!I5:I204)</f>
        <v/>
      </c>
      <c r="E5" s="121" t="n"/>
      <c r="F5" s="68" t="n"/>
      <c r="G5" s="77" t="inlineStr">
        <is>
          <t>✅ STRONG (60-79)</t>
        </is>
      </c>
      <c r="H5" s="78">
        <f>COUNTIFS('⚡ COMMAND TRACKER'!AA5:AA204,"&gt;="&amp;60,'⚡ COMMAND TRACKER'!AA5:AA204,"&lt;"&amp;80)</f>
        <v/>
      </c>
      <c r="I5" s="68" t="n"/>
    </row>
    <row r="6" ht="19.5" customHeight="1" s="105">
      <c r="A6" s="68" t="n"/>
      <c r="B6" s="122" t="n"/>
      <c r="C6" s="123" t="n"/>
      <c r="D6" s="122" t="n"/>
      <c r="E6" s="123" t="n"/>
      <c r="F6" s="68" t="n"/>
      <c r="G6" s="81" t="inlineStr">
        <is>
          <t>⚡ WARM (40-59)</t>
        </is>
      </c>
      <c r="H6" s="82">
        <f>COUNTIFS('⚡ COMMAND TRACKER'!AA5:AA204,"&gt;="&amp;40,'⚡ COMMAND TRACKER'!AA5:AA204,"&lt;"&amp;60)</f>
        <v/>
      </c>
      <c r="I6" s="68" t="n"/>
    </row>
    <row r="7" ht="19.5" customHeight="1" s="105">
      <c r="A7" s="68" t="n"/>
      <c r="B7" s="119" t="inlineStr">
        <is>
          <t>ANSWERED</t>
        </is>
      </c>
      <c r="C7" s="107" t="n"/>
      <c r="D7" s="119" t="inlineStr">
        <is>
          <t>Emails Recived</t>
        </is>
      </c>
      <c r="E7" s="107" t="n"/>
      <c r="F7" s="68" t="n"/>
      <c r="G7" s="84" t="inlineStr">
        <is>
          <t>📋 NURTURE (20-39)</t>
        </is>
      </c>
      <c r="H7" s="85">
        <f>COUNTIFS('⚡ COMMAND TRACKER'!AA5:AA204,"&gt;="&amp;20,'⚡ COMMAND TRACKER'!AA5:AA204,"&lt;"&amp;40)</f>
        <v/>
      </c>
      <c r="I7" s="68" t="n"/>
    </row>
    <row r="8" ht="19.5" customHeight="1" s="105">
      <c r="A8" s="68" t="n"/>
      <c r="B8" s="124">
        <f>COUNTIF('⚡ COMMAND TRACKER'!I5:I204,"Answered")</f>
        <v/>
      </c>
      <c r="C8" s="121" t="n"/>
      <c r="D8" s="120">
        <f>COUNTIF('⚡ COMMAND TRACKER'!K5:K204,"Yes")</f>
        <v/>
      </c>
      <c r="E8" s="121" t="n"/>
      <c r="F8" s="68" t="n"/>
      <c r="G8" s="87" t="inlineStr">
        <is>
          <t>❌ COLD (&lt;20)</t>
        </is>
      </c>
      <c r="H8" s="88">
        <f>COUNTIFS('⚡ COMMAND TRACKER'!AA5:AA204,"&gt;"&amp;0,'⚡ COMMAND TRACKER'!AA5:AA204,"&lt;"&amp;20)</f>
        <v/>
      </c>
      <c r="I8" s="68" t="n"/>
    </row>
    <row r="9" ht="19.5" customHeight="1" s="105">
      <c r="A9" s="68" t="n"/>
      <c r="B9" s="122" t="n"/>
      <c r="C9" s="123" t="n"/>
      <c r="D9" s="122" t="n"/>
      <c r="E9" s="123" t="n"/>
      <c r="F9" s="68" t="n"/>
      <c r="G9" s="89" t="inlineStr">
        <is>
          <t>🚫 NOT INTERESTED</t>
        </is>
      </c>
      <c r="H9" s="90">
        <f>COUNTIF('⚡ COMMAND TRACKER'!I5:I204,"Not Interested")</f>
        <v/>
      </c>
      <c r="I9" s="68" t="n"/>
    </row>
    <row r="10" ht="18" customHeight="1" s="105">
      <c r="A10" s="68" t="n"/>
      <c r="B10" s="119" t="inlineStr">
        <is>
          <t>BOOKED MEETINGS</t>
        </is>
      </c>
      <c r="C10" s="107" t="n"/>
      <c r="D10" s="119" t="inlineStr">
        <is>
          <t>OPEN CALLBACKS</t>
        </is>
      </c>
      <c r="E10" s="107" t="n"/>
      <c r="F10" s="68" t="n"/>
      <c r="G10" s="68" t="n"/>
      <c r="H10" s="68" t="n"/>
      <c r="I10" s="68" t="n"/>
    </row>
    <row r="11" ht="18" customHeight="1" s="105">
      <c r="A11" s="68" t="n"/>
      <c r="B11" s="120">
        <f>COUNTIF('⚡ COMMAND TRACKER'!W5:W204,"Yes")</f>
        <v/>
      </c>
      <c r="C11" s="121" t="n"/>
      <c r="D11" s="120">
        <f>COUNTIF('⚡ COMMAND TRACKER'!Z5:Z204,"Call Back")</f>
        <v/>
      </c>
      <c r="E11" s="121" t="n"/>
      <c r="F11" s="68" t="n"/>
      <c r="G11" s="68" t="n"/>
      <c r="H11" s="68" t="n"/>
      <c r="I11" s="68" t="n"/>
    </row>
    <row r="12" ht="18" customHeight="1" s="105">
      <c r="A12" s="68" t="n"/>
      <c r="B12" s="122" t="n"/>
      <c r="C12" s="123" t="n"/>
      <c r="D12" s="122" t="n"/>
      <c r="E12" s="123" t="n"/>
      <c r="F12" s="68" t="n"/>
      <c r="G12" s="68" t="n"/>
      <c r="H12" s="68" t="n"/>
      <c r="I12" s="68" t="n"/>
    </row>
    <row r="13" ht="18" customHeight="1" s="105">
      <c r="A13" s="68" t="n"/>
      <c r="B13" s="68" t="n"/>
      <c r="C13" s="68" t="n"/>
      <c r="D13" s="68" t="n"/>
      <c r="E13" s="68" t="n"/>
      <c r="F13" s="68" t="n"/>
      <c r="G13" s="68" t="n"/>
      <c r="H13" s="68" t="n"/>
      <c r="I13" s="68" t="n"/>
    </row>
    <row r="14" ht="15.75" customHeight="1" s="105">
      <c r="A14" s="68" t="n"/>
      <c r="B14" s="118" t="inlineStr">
        <is>
          <t xml:space="preserve">  CONVERSION RATES</t>
        </is>
      </c>
      <c r="F14" s="68" t="n"/>
      <c r="G14" s="118" t="inlineStr">
        <is>
          <t xml:space="preserve">  🏆 CALLER LEADERBOARD</t>
        </is>
      </c>
      <c r="I14" s="68" t="n"/>
    </row>
    <row r="15" ht="19.5" customHeight="1" s="105">
      <c r="A15" s="68" t="n"/>
      <c r="B15" s="40" t="inlineStr">
        <is>
          <t>Answer Rate</t>
        </is>
      </c>
      <c r="C15" s="125">
        <f>IFERROR(COUNTIF('⚡ COMMAND TRACKER'!I5:I204,"Answered")/COUNTA('⚡ COMMAND TRACKER'!I5:I204),0)</f>
        <v/>
      </c>
      <c r="D15" s="107" t="n"/>
      <c r="E15" s="107" t="n"/>
      <c r="F15" s="68" t="n"/>
      <c r="G15" s="40" t="inlineStr">
        <is>
          <t>🥇  Kristopher</t>
        </is>
      </c>
      <c r="H15" s="92">
        <f>COUNTIF('⚡ COMMAND TRACKER'!AG5:AG204,"*Kristopher*")</f>
        <v/>
      </c>
      <c r="I15" s="68" t="n"/>
    </row>
    <row r="16" ht="19.5" customHeight="1" s="105">
      <c r="A16" s="68" t="n"/>
      <c r="B16" s="40" t="inlineStr">
        <is>
          <t>DM Reach Rate</t>
        </is>
      </c>
      <c r="C16" s="125">
        <f>IFERROR(COUNTIF('⚡ COMMAND TRACKER'!K5:K204,"Yes")/COUNTA('⚡ COMMAND TRACKER'!I5:I204),0)</f>
        <v/>
      </c>
      <c r="D16" s="107" t="n"/>
      <c r="E16" s="107" t="n"/>
      <c r="F16" s="68" t="n"/>
      <c r="G16" s="40" t="inlineStr">
        <is>
          <t>🥈  Watson</t>
        </is>
      </c>
      <c r="H16" s="92">
        <f>COUNTIF('⚡ COMMAND TRACKER'!AG5:AG204,"*Watson*")</f>
        <v/>
      </c>
      <c r="I16" s="68" t="n"/>
    </row>
    <row r="17" ht="19.5" customHeight="1" s="105">
      <c r="A17" s="68" t="n"/>
      <c r="B17" s="40" t="inlineStr">
        <is>
          <t>Meeting Rate</t>
        </is>
      </c>
      <c r="C17" s="125">
        <f>IFERROR(COUNTIF('⚡ COMMAND TRACKER'!W5:W204,"Yes")/COUNTIF('⚡ COMMAND TRACKER'!I5:I204,"Answered"),0)</f>
        <v/>
      </c>
      <c r="D17" s="107" t="n"/>
      <c r="E17" s="107" t="n"/>
      <c r="F17" s="68" t="n"/>
      <c r="G17" s="40" t="inlineStr">
        <is>
          <t>🥉  —</t>
        </is>
      </c>
      <c r="H17" s="92" t="inlineStr">
        <is>
          <t>—</t>
        </is>
      </c>
      <c r="I17" s="68" t="n"/>
    </row>
    <row r="18" ht="19.5" customHeight="1" s="105">
      <c r="A18" s="68" t="n"/>
      <c r="B18" s="40" t="inlineStr">
        <is>
          <t>Hot Lead Rate</t>
        </is>
      </c>
      <c r="C18" s="125">
        <f>IFERROR(COUNTIF('⚡ COMMAND TRACKER'!AA5:AA204,"&gt;="&amp;60)/COUNTIF('⚡ COMMAND TRACKER'!A5:A204,"&lt;&gt;"),0)</f>
        <v/>
      </c>
      <c r="D18" s="107" t="n"/>
      <c r="E18" s="107" t="n"/>
      <c r="F18" s="68" t="n"/>
      <c r="G18" s="40" t="inlineStr">
        <is>
          <t>4️⃣  —</t>
        </is>
      </c>
      <c r="H18" s="92" t="inlineStr">
        <is>
          <t>—</t>
        </is>
      </c>
      <c r="I18" s="68" t="n"/>
    </row>
    <row r="19" ht="19.5" customHeight="1" s="105">
      <c r="A19" s="68" t="n"/>
      <c r="B19" s="40" t="inlineStr">
        <is>
          <t>Avg Fit Score</t>
        </is>
      </c>
      <c r="C19" s="126">
        <f>IFERROR(AVERAGEIF('⚡ COMMAND TRACKER'!AA5:AA204,"&gt;"&amp;0),0)</f>
        <v/>
      </c>
      <c r="D19" s="107" t="n"/>
      <c r="E19" s="107" t="n"/>
      <c r="F19" s="68" t="n"/>
      <c r="G19" s="40" t="inlineStr">
        <is>
          <t>5️⃣  —</t>
        </is>
      </c>
      <c r="H19" s="92" t="inlineStr">
        <is>
          <t>—</t>
        </is>
      </c>
      <c r="I19" s="68" t="n"/>
    </row>
    <row r="20" ht="19.5" customHeight="1" s="105">
      <c r="A20" s="68" t="n"/>
      <c r="B20" s="40" t="inlineStr">
        <is>
          <t>Avg Pain Score</t>
        </is>
      </c>
      <c r="C20" s="127">
        <f>IFERROR(AVERAGEIF('⚡ COMMAND TRACKER'!V5:V204,"&gt;"&amp;0),0)</f>
        <v/>
      </c>
      <c r="D20" s="107" t="n"/>
      <c r="E20" s="107" t="n"/>
      <c r="F20" s="68" t="n"/>
      <c r="G20" s="68" t="n"/>
      <c r="H20" s="68" t="n"/>
      <c r="I20" s="68" t="n"/>
    </row>
    <row r="21" ht="18" customHeight="1" s="105">
      <c r="A21" s="68" t="n"/>
      <c r="B21" s="68" t="n"/>
      <c r="C21" s="68" t="n"/>
      <c r="D21" s="68" t="n"/>
      <c r="E21" s="68" t="n"/>
      <c r="F21" s="68" t="n"/>
      <c r="G21" s="68" t="n"/>
      <c r="H21" s="68" t="n"/>
      <c r="I21" s="68" t="n"/>
    </row>
    <row r="22" ht="18" customHeight="1" s="105">
      <c r="A22" s="68" t="n"/>
      <c r="B22" s="68" t="n"/>
      <c r="C22" s="68" t="n"/>
      <c r="D22" s="68" t="n"/>
      <c r="E22" s="68" t="n"/>
      <c r="F22" s="68" t="n"/>
      <c r="G22" s="68" t="n"/>
      <c r="H22" s="68" t="n"/>
      <c r="I22" s="68" t="n"/>
    </row>
    <row r="23" ht="18" customHeight="1" s="105">
      <c r="A23" s="68" t="n"/>
      <c r="B23" s="68" t="n"/>
      <c r="C23" s="68" t="n"/>
      <c r="D23" s="68" t="n"/>
      <c r="E23" s="68" t="n"/>
      <c r="F23" s="68" t="n"/>
      <c r="G23" s="68" t="n"/>
      <c r="H23" s="68" t="n"/>
      <c r="I23" s="68" t="n"/>
    </row>
    <row r="24" ht="18" customHeight="1" s="105">
      <c r="A24" s="68" t="n"/>
      <c r="B24" s="68" t="n"/>
      <c r="C24" s="68" t="n"/>
      <c r="D24" s="68" t="n"/>
      <c r="E24" s="68" t="n"/>
      <c r="F24" s="68" t="n"/>
      <c r="G24" s="68" t="n"/>
      <c r="H24" s="68" t="n"/>
      <c r="I24" s="68" t="n"/>
    </row>
    <row r="25" ht="18" customHeight="1" s="105">
      <c r="A25" s="68" t="n"/>
      <c r="B25" s="68" t="n"/>
      <c r="C25" s="68" t="n"/>
      <c r="D25" s="68" t="n"/>
      <c r="E25" s="68" t="n"/>
      <c r="F25" s="68" t="n"/>
      <c r="G25" s="68" t="n"/>
      <c r="H25" s="68" t="n"/>
      <c r="I25" s="68" t="n"/>
    </row>
    <row r="26" ht="18" customHeight="1" s="105">
      <c r="A26" s="68" t="n"/>
      <c r="B26" s="68" t="n"/>
      <c r="C26" s="68" t="n"/>
      <c r="D26" s="68" t="n"/>
      <c r="E26" s="68" t="n"/>
      <c r="F26" s="68" t="n"/>
      <c r="G26" s="68" t="n"/>
      <c r="H26" s="68" t="n"/>
      <c r="I26" s="68" t="n"/>
    </row>
    <row r="27" ht="18" customHeight="1" s="105">
      <c r="A27" s="68" t="n"/>
      <c r="B27" s="68" t="n"/>
      <c r="C27" s="68" t="n"/>
      <c r="D27" s="68" t="n"/>
      <c r="E27" s="68" t="n"/>
      <c r="F27" s="68" t="n"/>
      <c r="G27" s="68" t="n"/>
      <c r="H27" s="68" t="n"/>
      <c r="I27" s="68" t="n"/>
    </row>
    <row r="28" ht="18" customHeight="1" s="105">
      <c r="A28" s="68" t="n"/>
      <c r="B28" s="68" t="n"/>
      <c r="C28" s="68" t="n"/>
      <c r="D28" s="68" t="n"/>
      <c r="E28" s="68" t="n"/>
      <c r="F28" s="68" t="n"/>
      <c r="G28" s="68" t="n"/>
      <c r="H28" s="68" t="n"/>
      <c r="I28" s="68" t="n"/>
    </row>
    <row r="29" ht="18" customHeight="1" s="105">
      <c r="A29" s="68" t="n"/>
      <c r="B29" s="68" t="n"/>
      <c r="C29" s="68" t="n"/>
      <c r="D29" s="68" t="n"/>
      <c r="E29" s="68" t="n"/>
      <c r="F29" s="68" t="n"/>
      <c r="G29" s="68" t="n"/>
      <c r="H29" s="68" t="n"/>
      <c r="I29" s="68" t="n"/>
    </row>
    <row r="30" ht="15.75" customHeight="1" s="105"/>
    <row r="31" ht="15.75" customHeight="1" s="105"/>
    <row r="32" ht="15.75" customHeight="1" s="105"/>
    <row r="33" ht="15.75" customHeight="1" s="105"/>
    <row r="34" ht="15.75" customHeight="1" s="105"/>
    <row r="35" ht="15.75" customHeight="1" s="105"/>
    <row r="36" ht="15.75" customHeight="1" s="105"/>
    <row r="37" ht="15.75" customHeight="1" s="105"/>
    <row r="38" ht="15.75" customHeight="1" s="105"/>
    <row r="39" ht="15.75" customHeight="1" s="105"/>
    <row r="40" ht="15.75" customHeight="1" s="105"/>
    <row r="41" ht="15.75" customHeight="1" s="105"/>
    <row r="42" ht="15.75" customHeight="1" s="105"/>
    <row r="43" ht="15.75" customHeight="1" s="105"/>
    <row r="44" ht="15.75" customHeight="1" s="105"/>
    <row r="45" ht="15.75" customHeight="1" s="105"/>
    <row r="46" ht="15.75" customHeight="1" s="105"/>
    <row r="47" ht="15.75" customHeight="1" s="105"/>
    <row r="48" ht="15.75" customHeight="1" s="105"/>
    <row r="49" ht="15.75" customHeight="1" s="105"/>
    <row r="50" ht="15.75" customHeight="1" s="105"/>
    <row r="51" ht="15.75" customHeight="1" s="105"/>
    <row r="52" ht="15.75" customHeight="1" s="105"/>
    <row r="53" ht="15.75" customHeight="1" s="105"/>
    <row r="54" ht="15.75" customHeight="1" s="105"/>
    <row r="55" ht="15.75" customHeight="1" s="105"/>
    <row r="56" ht="15.75" customHeight="1" s="105"/>
    <row r="57" ht="15.75" customHeight="1" s="105"/>
    <row r="58" ht="15.75" customHeight="1" s="105"/>
    <row r="59" ht="15.75" customHeight="1" s="105"/>
    <row r="60" ht="15.75" customHeight="1" s="105"/>
    <row r="61" ht="15.75" customHeight="1" s="105"/>
    <row r="62" ht="15.75" customHeight="1" s="105"/>
    <row r="63" ht="15.75" customHeight="1" s="105"/>
    <row r="64" ht="15.75" customHeight="1" s="105"/>
    <row r="65" ht="15.75" customHeight="1" s="105"/>
    <row r="66" ht="15.75" customHeight="1" s="105"/>
    <row r="67" ht="15.75" customHeight="1" s="105"/>
    <row r="68" ht="15.75" customHeight="1" s="105"/>
    <row r="69" ht="15.75" customHeight="1" s="105"/>
    <row r="70" ht="15.75" customHeight="1" s="105"/>
    <row r="71" ht="15.75" customHeight="1" s="105"/>
    <row r="72" ht="15.75" customHeight="1" s="105"/>
    <row r="73" ht="15.75" customHeight="1" s="105"/>
    <row r="74" ht="15.75" customHeight="1" s="105"/>
    <row r="75" ht="15.75" customHeight="1" s="105"/>
    <row r="76" ht="15.75" customHeight="1" s="105"/>
    <row r="77" ht="15.75" customHeight="1" s="105"/>
    <row r="78" ht="15.75" customHeight="1" s="105"/>
    <row r="79" ht="15.75" customHeight="1" s="105"/>
    <row r="80" ht="15.75" customHeight="1" s="105"/>
    <row r="81" ht="15.75" customHeight="1" s="105"/>
    <row r="82" ht="15.75" customHeight="1" s="105"/>
    <row r="83" ht="15.75" customHeight="1" s="105"/>
    <row r="84" ht="15.75" customHeight="1" s="105"/>
    <row r="85" ht="15.75" customHeight="1" s="105"/>
    <row r="86" ht="15.75" customHeight="1" s="105"/>
    <row r="87" ht="15.75" customHeight="1" s="105"/>
    <row r="88" ht="15.75" customHeight="1" s="105"/>
    <row r="89" ht="15.75" customHeight="1" s="105"/>
    <row r="90" ht="15.75" customHeight="1" s="105"/>
    <row r="91" ht="15.75" customHeight="1" s="105"/>
    <row r="92" ht="15.75" customHeight="1" s="105"/>
    <row r="93" ht="15.75" customHeight="1" s="105"/>
    <row r="94" ht="15.75" customHeight="1" s="105"/>
    <row r="95" ht="15.75" customHeight="1" s="105"/>
    <row r="96" ht="15.75" customHeight="1" s="105"/>
    <row r="97" ht="15.75" customHeight="1" s="105"/>
    <row r="98" ht="15.75" customHeight="1" s="105"/>
    <row r="99" ht="15.75" customHeight="1" s="105"/>
    <row r="100" ht="15.75" customHeight="1" s="105"/>
    <row r="101" ht="15.75" customHeight="1" s="105"/>
    <row r="102" ht="15.75" customHeight="1" s="105"/>
    <row r="103" ht="15.75" customHeight="1" s="105"/>
    <row r="104" ht="15.75" customHeight="1" s="105"/>
    <row r="105" ht="15.75" customHeight="1" s="105"/>
    <row r="106" ht="15.75" customHeight="1" s="105"/>
    <row r="107" ht="15.75" customHeight="1" s="105"/>
    <row r="108" ht="15.75" customHeight="1" s="105"/>
    <row r="109" ht="15.75" customHeight="1" s="105"/>
    <row r="110" ht="15.75" customHeight="1" s="105"/>
    <row r="111" ht="15.75" customHeight="1" s="105"/>
    <row r="112" ht="15.75" customHeight="1" s="105"/>
    <row r="113" ht="15.75" customHeight="1" s="105"/>
    <row r="114" ht="15.75" customHeight="1" s="105"/>
    <row r="115" ht="15.75" customHeight="1" s="105"/>
    <row r="116" ht="15.75" customHeight="1" s="105"/>
    <row r="117" ht="15.75" customHeight="1" s="105"/>
    <row r="118" ht="15.75" customHeight="1" s="105"/>
    <row r="119" ht="15.75" customHeight="1" s="105"/>
    <row r="120" ht="15.75" customHeight="1" s="105"/>
    <row r="121" ht="15.75" customHeight="1" s="105"/>
    <row r="122" ht="15.75" customHeight="1" s="105"/>
    <row r="123" ht="15.75" customHeight="1" s="105"/>
    <row r="124" ht="15.75" customHeight="1" s="105"/>
    <row r="125" ht="15.75" customHeight="1" s="105"/>
    <row r="126" ht="15.75" customHeight="1" s="105"/>
    <row r="127" ht="15.75" customHeight="1" s="105"/>
    <row r="128" ht="15.75" customHeight="1" s="105"/>
    <row r="129" ht="15.75" customHeight="1" s="105"/>
    <row r="130" ht="15.75" customHeight="1" s="105"/>
    <row r="131" ht="15.75" customHeight="1" s="105"/>
    <row r="132" ht="15.75" customHeight="1" s="105"/>
    <row r="133" ht="15.75" customHeight="1" s="105"/>
    <row r="134" ht="15.75" customHeight="1" s="105"/>
    <row r="135" ht="15.75" customHeight="1" s="105"/>
    <row r="136" ht="15.75" customHeight="1" s="105"/>
    <row r="137" ht="15.75" customHeight="1" s="105"/>
    <row r="138" ht="15.75" customHeight="1" s="105"/>
    <row r="139" ht="15.75" customHeight="1" s="105"/>
    <row r="140" ht="15.75" customHeight="1" s="105"/>
    <row r="141" ht="15.75" customHeight="1" s="105"/>
    <row r="142" ht="15.75" customHeight="1" s="105"/>
    <row r="143" ht="15.75" customHeight="1" s="105"/>
    <row r="144" ht="15.75" customHeight="1" s="105"/>
    <row r="145" ht="15.75" customHeight="1" s="105"/>
    <row r="146" ht="15.75" customHeight="1" s="105"/>
    <row r="147" ht="15.75" customHeight="1" s="105"/>
    <row r="148" ht="15.75" customHeight="1" s="105"/>
    <row r="149" ht="15.75" customHeight="1" s="105"/>
    <row r="150" ht="15.75" customHeight="1" s="105"/>
    <row r="151" ht="15.75" customHeight="1" s="105"/>
    <row r="152" ht="15.75" customHeight="1" s="105"/>
    <row r="153" ht="15.75" customHeight="1" s="105"/>
    <row r="154" ht="15.75" customHeight="1" s="105"/>
    <row r="155" ht="15.75" customHeight="1" s="105"/>
    <row r="156" ht="15.75" customHeight="1" s="105"/>
    <row r="157" ht="15.75" customHeight="1" s="105"/>
    <row r="158" ht="15.75" customHeight="1" s="105"/>
    <row r="159" ht="15.75" customHeight="1" s="105"/>
    <row r="160" ht="15.75" customHeight="1" s="105"/>
    <row r="161" ht="15.75" customHeight="1" s="105"/>
    <row r="162" ht="15.75" customHeight="1" s="105"/>
    <row r="163" ht="15.75" customHeight="1" s="105"/>
    <row r="164" ht="15.75" customHeight="1" s="105"/>
    <row r="165" ht="15.75" customHeight="1" s="105"/>
    <row r="166" ht="15.75" customHeight="1" s="105"/>
    <row r="167" ht="15.75" customHeight="1" s="105"/>
    <row r="168" ht="15.75" customHeight="1" s="105"/>
    <row r="169" ht="15.75" customHeight="1" s="105"/>
    <row r="170" ht="15.75" customHeight="1" s="105"/>
    <row r="171" ht="15.75" customHeight="1" s="105"/>
    <row r="172" ht="15.75" customHeight="1" s="105"/>
    <row r="173" ht="15.75" customHeight="1" s="105"/>
    <row r="174" ht="15.75" customHeight="1" s="105"/>
    <row r="175" ht="15.75" customHeight="1" s="105"/>
    <row r="176" ht="15.75" customHeight="1" s="105"/>
    <row r="177" ht="15.75" customHeight="1" s="105"/>
    <row r="178" ht="15.75" customHeight="1" s="105"/>
    <row r="179" ht="15.75" customHeight="1" s="105"/>
    <row r="180" ht="15.75" customHeight="1" s="105"/>
    <row r="181" ht="15.75" customHeight="1" s="105"/>
    <row r="182" ht="15.75" customHeight="1" s="105"/>
    <row r="183" ht="15.75" customHeight="1" s="105"/>
    <row r="184" ht="15.75" customHeight="1" s="105"/>
    <row r="185" ht="15.75" customHeight="1" s="105"/>
    <row r="186" ht="15.75" customHeight="1" s="105"/>
    <row r="187" ht="15.75" customHeight="1" s="105"/>
    <row r="188" ht="15.75" customHeight="1" s="105"/>
    <row r="189" ht="15.75" customHeight="1" s="105"/>
    <row r="190" ht="15.75" customHeight="1" s="105"/>
    <row r="191" ht="15.75" customHeight="1" s="105"/>
    <row r="192" ht="15.75" customHeight="1" s="105"/>
    <row r="193" ht="15.75" customHeight="1" s="105"/>
    <row r="194" ht="15.75" customHeight="1" s="105"/>
    <row r="195" ht="15.75" customHeight="1" s="105"/>
    <row r="196" ht="15.75" customHeight="1" s="105"/>
    <row r="197" ht="15.75" customHeight="1" s="105"/>
    <row r="198" ht="15.75" customHeight="1" s="105"/>
    <row r="199" ht="15.75" customHeight="1" s="105"/>
    <row r="200" ht="15.75" customHeight="1" s="105"/>
    <row r="201" ht="15.75" customHeight="1" s="105"/>
    <row r="202" ht="15.75" customHeight="1" s="105"/>
    <row r="203" ht="15.75" customHeight="1" s="105"/>
    <row r="204" ht="15.75" customHeight="1" s="105"/>
    <row r="205" ht="15.75" customHeight="1" s="105"/>
    <row r="206" ht="15.75" customHeight="1" s="105"/>
    <row r="207" ht="15.75" customHeight="1" s="105"/>
    <row r="208" ht="15.75" customHeight="1" s="105"/>
    <row r="209" ht="15.75" customHeight="1" s="105"/>
    <row r="210" ht="15.75" customHeight="1" s="105"/>
    <row r="211" ht="15.75" customHeight="1" s="105"/>
    <row r="212" ht="15.75" customHeight="1" s="105"/>
    <row r="213" ht="15.75" customHeight="1" s="105"/>
    <row r="214" ht="15.75" customHeight="1" s="105"/>
    <row r="215" ht="15.75" customHeight="1" s="105"/>
    <row r="216" ht="15.75" customHeight="1" s="105"/>
    <row r="217" ht="15.75" customHeight="1" s="105"/>
    <row r="218" ht="15.75" customHeight="1" s="105"/>
    <row r="219" ht="15.75" customHeight="1" s="105"/>
    <row r="220" ht="15.75" customHeight="1" s="105"/>
    <row r="221" ht="15.75" customHeight="1" s="105"/>
    <row r="222" ht="15.75" customHeight="1" s="105"/>
    <row r="223" ht="15.75" customHeight="1" s="105"/>
    <row r="224" ht="15.75" customHeight="1" s="105"/>
    <row r="225" ht="15.75" customHeight="1" s="105"/>
    <row r="226" ht="15.75" customHeight="1" s="105"/>
    <row r="227" ht="15.75" customHeight="1" s="105"/>
    <row r="228" ht="15.75" customHeight="1" s="105"/>
    <row r="229" ht="15.75" customHeight="1" s="105"/>
    <row r="230" ht="15.75" customHeight="1" s="105"/>
    <row r="231" ht="15.75" customHeight="1" s="105"/>
    <row r="232" ht="15.75" customHeight="1" s="105"/>
    <row r="233" ht="15.75" customHeight="1" s="105"/>
    <row r="234" ht="15.75" customHeight="1" s="105"/>
    <row r="235" ht="15.75" customHeight="1" s="105"/>
    <row r="236" ht="15.75" customHeight="1" s="105"/>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row r="990" ht="15.75" customHeight="1" s="105"/>
    <row r="991" ht="15.75" customHeight="1" s="105"/>
    <row r="992" ht="15.75" customHeight="1" s="105"/>
    <row r="993" ht="15.75" customHeight="1" s="105"/>
    <row r="994" ht="15.75" customHeight="1" s="105"/>
    <row r="995" ht="15.75" customHeight="1" s="105"/>
    <row r="996" ht="15.75" customHeight="1" s="105"/>
    <row r="997" ht="15.75" customHeight="1" s="105"/>
    <row r="998" ht="15.75" customHeight="1" s="105"/>
    <row r="999" ht="15.75" customHeight="1" s="105"/>
    <row r="1000" ht="15.75" customHeight="1" s="105"/>
  </sheetData>
  <mergeCells count="23">
    <mergeCell ref="C16:E16"/>
    <mergeCell ref="D10:E10"/>
    <mergeCell ref="B7:C7"/>
    <mergeCell ref="D8:E9"/>
    <mergeCell ref="B5:C6"/>
    <mergeCell ref="D5:E6"/>
    <mergeCell ref="C17:E17"/>
    <mergeCell ref="B3:E3"/>
    <mergeCell ref="G3:H3"/>
    <mergeCell ref="D7:E7"/>
    <mergeCell ref="C19:E19"/>
    <mergeCell ref="B10:C10"/>
    <mergeCell ref="C18:E18"/>
    <mergeCell ref="D4:E4"/>
    <mergeCell ref="G14:H14"/>
    <mergeCell ref="C15:E15"/>
    <mergeCell ref="B14:E14"/>
    <mergeCell ref="B8:C9"/>
    <mergeCell ref="B11:C12"/>
    <mergeCell ref="D11:E12"/>
    <mergeCell ref="A1:I1"/>
    <mergeCell ref="C20:E20"/>
    <mergeCell ref="B4:C4"/>
  </mergeCells>
  <pageMargins left="0.75" right="0.75" top="1" bottom="1" header="0" footer="0"/>
  <pageSetup orientation="portrait" paperSize="9"/>
</worksheet>
</file>

<file path=xl/worksheets/sheet5.xml><?xml version="1.0" encoding="utf-8"?>
<worksheet xmlns="http://schemas.openxmlformats.org/spreadsheetml/2006/main">
  <sheetPr>
    <tabColor rgb="FF3B82F6"/>
    <outlinePr summaryBelow="1" summaryRight="1"/>
    <pageSetUpPr/>
  </sheetPr>
  <dimension ref="A1:J53"/>
  <sheetViews>
    <sheetView showGridLines="0" workbookViewId="0">
      <pane ySplit="3" topLeftCell="A4" activePane="bottomLeft" state="frozen"/>
      <selection pane="bottomLeft" activeCell="B5" sqref="B5"/>
    </sheetView>
  </sheetViews>
  <sheetFormatPr baseColWidth="8" defaultColWidth="14.43" defaultRowHeight="15" customHeight="1"/>
  <cols>
    <col width="22" customWidth="1" style="105" min="1" max="1"/>
    <col width="18" customWidth="1" style="105" min="2" max="2"/>
    <col width="14" customWidth="1" style="105" min="3" max="3"/>
    <col width="9" customWidth="1" style="105" min="4" max="4"/>
    <col width="14" customWidth="1" style="105" min="5" max="5"/>
    <col width="10" customWidth="1" style="105" min="6" max="6"/>
    <col width="14" customWidth="1" style="105" min="7" max="7"/>
    <col width="20" customWidth="1" style="105" min="8" max="8"/>
    <col width="14" customWidth="1" style="105" min="9" max="9"/>
    <col width="13" customWidth="1" style="105" min="10" max="10"/>
    <col width="8.710000000000001" customWidth="1" style="105" min="11" max="26"/>
  </cols>
  <sheetData>
    <row r="1" ht="36" customHeight="1" s="105">
      <c r="A1" s="128" t="inlineStr">
        <is>
          <t>📋  BOOKED MEETINGS  ·  AUTO-PULLED FROM TRACKER  ·  SHOW TIME</t>
        </is>
      </c>
      <c r="B1" s="107" t="n"/>
      <c r="C1" s="107" t="n"/>
      <c r="D1" s="107" t="n"/>
      <c r="E1" s="107" t="n"/>
      <c r="F1" s="107" t="n"/>
      <c r="G1" s="107" t="n"/>
      <c r="H1" s="107" t="n"/>
      <c r="I1" s="107" t="n"/>
      <c r="J1" s="107" t="n"/>
    </row>
    <row r="2" ht="13.5" customHeight="1" s="105"/>
    <row r="3" ht="27.75" customHeight="1" s="105">
      <c r="A3" s="54" t="inlineStr">
        <is>
          <t>Company</t>
        </is>
      </c>
      <c r="B3" s="54" t="inlineStr">
        <is>
          <t>Owner/DM</t>
        </is>
      </c>
      <c r="C3" s="54" t="inlineStr">
        <is>
          <t>Phone</t>
        </is>
      </c>
      <c r="D3" s="54" t="inlineStr">
        <is>
          <t># Trucks</t>
        </is>
      </c>
      <c r="E3" s="54" t="inlineStr">
        <is>
          <t>Meeting Type</t>
        </is>
      </c>
      <c r="F3" s="54" t="inlineStr">
        <is>
          <t>Fit Score</t>
        </is>
      </c>
      <c r="G3" s="54" t="inlineStr">
        <is>
          <t>Fit Tier</t>
        </is>
      </c>
      <c r="H3" s="54" t="inlineStr">
        <is>
          <t>Main Pain</t>
        </is>
      </c>
      <c r="I3" s="54" t="inlineStr">
        <is>
          <t>Callback Date</t>
        </is>
      </c>
      <c r="J3" s="54" t="inlineStr">
        <is>
          <t>Caller</t>
        </is>
      </c>
    </row>
    <row r="4" ht="19.5" customHeight="1" s="105">
      <c r="A4" s="40">
        <f>IFERROR(__xludf.DUMMYFUNCTION("QUERY('⚡ COMMAND TRACKER'!$A$5:$AG$204,""select A,E,B,H,X,Y,Z,T,AC where U='Yes' order by AC asc"",0)"),"#N/A")</f>
        <v/>
      </c>
      <c r="B4" s="31" t="n"/>
      <c r="C4" s="64" t="n"/>
      <c r="D4" s="31" t="n"/>
      <c r="E4" s="31" t="n"/>
      <c r="F4" s="56" t="n"/>
      <c r="G4" s="31" t="n"/>
      <c r="H4" s="31" t="n"/>
      <c r="I4" s="38" t="n"/>
      <c r="J4" s="40" t="inlineStr">
        <is>
          <t>Kristopher</t>
        </is>
      </c>
    </row>
    <row r="5" ht="19.5" customHeight="1" s="105">
      <c r="A5" s="44" t="n"/>
      <c r="B5" s="44" t="n"/>
      <c r="C5" s="61" t="n"/>
      <c r="D5" s="23" t="n"/>
      <c r="E5" s="23" t="n"/>
      <c r="F5" s="59" t="n"/>
      <c r="G5" s="23" t="n"/>
      <c r="H5" s="44" t="n"/>
      <c r="I5" s="45" t="n"/>
      <c r="J5" s="44" t="inlineStr">
        <is>
          <t>Kristopher</t>
        </is>
      </c>
    </row>
    <row r="6" ht="19.5" customHeight="1" s="105">
      <c r="A6" s="40" t="n"/>
      <c r="B6" s="40" t="n"/>
      <c r="C6" s="65" t="n"/>
      <c r="D6" s="31" t="n"/>
      <c r="E6" s="31" t="n"/>
      <c r="F6" s="56" t="n"/>
      <c r="G6" s="31" t="n"/>
      <c r="H6" s="40" t="n"/>
      <c r="I6" s="42" t="n"/>
      <c r="J6" s="40" t="inlineStr">
        <is>
          <t>Kristopher</t>
        </is>
      </c>
    </row>
    <row r="7" ht="19.5" customHeight="1" s="105">
      <c r="A7" s="44" t="n"/>
      <c r="B7" s="44" t="n"/>
      <c r="C7" s="61" t="n"/>
      <c r="D7" s="23" t="n"/>
      <c r="E7" s="23" t="n"/>
      <c r="F7" s="59" t="n"/>
      <c r="G7" s="23" t="n"/>
      <c r="H7" s="44" t="n"/>
      <c r="I7" s="45" t="n"/>
      <c r="J7" s="44" t="n"/>
    </row>
    <row r="8" ht="19.5" customHeight="1" s="105">
      <c r="A8" s="40" t="n"/>
      <c r="B8" s="40" t="n"/>
      <c r="C8" s="65" t="n"/>
      <c r="D8" s="31" t="n"/>
      <c r="E8" s="31" t="n"/>
      <c r="F8" s="56" t="n"/>
      <c r="G8" s="31" t="n"/>
      <c r="H8" s="40" t="n"/>
      <c r="I8" s="42" t="n"/>
      <c r="J8" s="40" t="n"/>
    </row>
    <row r="9" ht="19.5" customHeight="1" s="105">
      <c r="A9" s="44" t="n"/>
      <c r="B9" s="44" t="n"/>
      <c r="C9" s="61" t="n"/>
      <c r="D9" s="23" t="n"/>
      <c r="E9" s="23" t="n"/>
      <c r="F9" s="59" t="n"/>
      <c r="G9" s="23" t="n"/>
      <c r="H9" s="44" t="n"/>
      <c r="I9" s="45" t="n"/>
      <c r="J9" s="44" t="n"/>
    </row>
    <row r="10" ht="19.5" customHeight="1" s="105">
      <c r="A10" s="40" t="n"/>
      <c r="B10" s="40" t="n"/>
      <c r="C10" s="65" t="n"/>
      <c r="D10" s="31" t="n"/>
      <c r="E10" s="31" t="n"/>
      <c r="F10" s="56" t="n"/>
      <c r="G10" s="31" t="n"/>
      <c r="H10" s="40" t="n"/>
      <c r="I10" s="42" t="n"/>
      <c r="J10" s="40" t="n"/>
    </row>
    <row r="11" ht="19.5" customHeight="1" s="105">
      <c r="A11" s="44" t="n"/>
      <c r="B11" s="44" t="n"/>
      <c r="C11" s="61" t="n"/>
      <c r="D11" s="23" t="n"/>
      <c r="E11" s="23" t="n"/>
      <c r="F11" s="59" t="n"/>
      <c r="G11" s="23" t="n"/>
      <c r="H11" s="44" t="n"/>
      <c r="I11" s="45" t="n"/>
      <c r="J11" s="44" t="n"/>
    </row>
    <row r="12" ht="19.5" customHeight="1" s="105">
      <c r="A12" s="40" t="n"/>
      <c r="B12" s="40" t="n"/>
      <c r="C12" s="65" t="n"/>
      <c r="D12" s="31" t="n"/>
      <c r="E12" s="31" t="n"/>
      <c r="F12" s="56" t="n"/>
      <c r="G12" s="31" t="n"/>
      <c r="H12" s="40" t="n"/>
      <c r="I12" s="42" t="n"/>
      <c r="J12" s="40" t="n"/>
    </row>
    <row r="13" ht="19.5" customHeight="1" s="105">
      <c r="A13" s="44" t="n"/>
      <c r="B13" s="44" t="n"/>
      <c r="C13" s="61" t="n"/>
      <c r="D13" s="23" t="n"/>
      <c r="E13" s="23" t="n"/>
      <c r="F13" s="59" t="n"/>
      <c r="G13" s="23" t="n"/>
      <c r="H13" s="44" t="n"/>
      <c r="I13" s="45" t="n"/>
      <c r="J13" s="44" t="n"/>
    </row>
    <row r="14" ht="19.5" customHeight="1" s="105">
      <c r="A14" s="40" t="n"/>
      <c r="B14" s="40" t="n"/>
      <c r="C14" s="65" t="n"/>
      <c r="D14" s="31" t="n"/>
      <c r="E14" s="31" t="n"/>
      <c r="F14" s="56" t="n"/>
      <c r="G14" s="31" t="n"/>
      <c r="H14" s="40" t="n"/>
      <c r="I14" s="42" t="n"/>
      <c r="J14" s="40" t="n"/>
    </row>
    <row r="15" ht="19.5" customHeight="1" s="105">
      <c r="A15" s="44" t="n"/>
      <c r="B15" s="44" t="n"/>
      <c r="C15" s="61" t="n"/>
      <c r="D15" s="23" t="n"/>
      <c r="E15" s="23" t="n"/>
      <c r="F15" s="59" t="n"/>
      <c r="G15" s="23" t="n"/>
      <c r="H15" s="44" t="n"/>
      <c r="I15" s="45" t="n"/>
      <c r="J15" s="44" t="n"/>
    </row>
    <row r="16" ht="19.5" customHeight="1" s="105">
      <c r="A16" s="40" t="n"/>
      <c r="B16" s="40" t="n"/>
      <c r="C16" s="65" t="n"/>
      <c r="D16" s="31" t="n"/>
      <c r="E16" s="31" t="n"/>
      <c r="F16" s="56" t="n"/>
      <c r="G16" s="31" t="n"/>
      <c r="H16" s="40" t="n"/>
      <c r="I16" s="42" t="n"/>
      <c r="J16" s="40" t="n"/>
    </row>
    <row r="17" ht="19.5" customHeight="1" s="105">
      <c r="A17" s="44" t="n"/>
      <c r="B17" s="44" t="n"/>
      <c r="C17" s="61" t="n"/>
      <c r="D17" s="23" t="n"/>
      <c r="E17" s="23" t="n"/>
      <c r="F17" s="59" t="n"/>
      <c r="G17" s="23" t="n"/>
      <c r="H17" s="44" t="n"/>
      <c r="I17" s="45" t="n"/>
      <c r="J17" s="44" t="n"/>
    </row>
    <row r="18" ht="19.5" customHeight="1" s="105">
      <c r="A18" s="40" t="n"/>
      <c r="B18" s="40" t="n"/>
      <c r="C18" s="65" t="n"/>
      <c r="D18" s="31" t="n"/>
      <c r="E18" s="31" t="n"/>
      <c r="F18" s="56" t="n"/>
      <c r="G18" s="31" t="n"/>
      <c r="H18" s="40" t="n"/>
      <c r="I18" s="42" t="n"/>
      <c r="J18" s="40" t="n"/>
    </row>
    <row r="19" ht="19.5" customHeight="1" s="105">
      <c r="A19" s="44" t="n"/>
      <c r="B19" s="44" t="n"/>
      <c r="C19" s="61" t="n"/>
      <c r="D19" s="23" t="n"/>
      <c r="E19" s="23" t="n"/>
      <c r="F19" s="59" t="n"/>
      <c r="G19" s="23" t="n"/>
      <c r="H19" s="44" t="n"/>
      <c r="I19" s="45" t="n"/>
      <c r="J19" s="44" t="n"/>
    </row>
    <row r="20" ht="19.5" customHeight="1" s="105">
      <c r="A20" s="40" t="n"/>
      <c r="B20" s="40" t="n"/>
      <c r="C20" s="65" t="n"/>
      <c r="D20" s="31" t="n"/>
      <c r="E20" s="31" t="n"/>
      <c r="F20" s="56" t="n"/>
      <c r="G20" s="31" t="n"/>
      <c r="H20" s="40" t="n"/>
      <c r="I20" s="42" t="n"/>
      <c r="J20" s="40" t="n"/>
    </row>
    <row r="21" ht="19.5" customHeight="1" s="105">
      <c r="A21" s="44" t="n"/>
      <c r="B21" s="44" t="n"/>
      <c r="C21" s="61" t="n"/>
      <c r="D21" s="23" t="n"/>
      <c r="E21" s="23" t="n"/>
      <c r="F21" s="59" t="n"/>
      <c r="G21" s="23" t="n"/>
      <c r="H21" s="44" t="n"/>
      <c r="I21" s="45" t="n"/>
      <c r="J21" s="44" t="n"/>
    </row>
    <row r="22" ht="19.5" customHeight="1" s="105">
      <c r="A22" s="40" t="n"/>
      <c r="B22" s="40" t="n"/>
      <c r="C22" s="65" t="n"/>
      <c r="D22" s="31" t="n"/>
      <c r="E22" s="31" t="n"/>
      <c r="F22" s="56" t="n"/>
      <c r="G22" s="31" t="n"/>
      <c r="H22" s="40" t="n"/>
      <c r="I22" s="42" t="n"/>
      <c r="J22" s="40" t="n"/>
    </row>
    <row r="23" ht="19.5" customHeight="1" s="105">
      <c r="A23" s="44" t="n"/>
      <c r="B23" s="44" t="n"/>
      <c r="C23" s="61" t="n"/>
      <c r="D23" s="23" t="n"/>
      <c r="E23" s="23" t="n"/>
      <c r="F23" s="59" t="n"/>
      <c r="G23" s="23" t="n"/>
      <c r="H23" s="44" t="n"/>
      <c r="I23" s="45" t="n"/>
      <c r="J23" s="44" t="n"/>
    </row>
    <row r="24" ht="19.5" customHeight="1" s="105">
      <c r="A24" s="40" t="n"/>
      <c r="B24" s="40" t="n"/>
      <c r="C24" s="65" t="n"/>
      <c r="D24" s="31" t="n"/>
      <c r="E24" s="31" t="n"/>
      <c r="F24" s="56" t="n"/>
      <c r="G24" s="31" t="n"/>
      <c r="H24" s="40" t="n"/>
      <c r="I24" s="42" t="n"/>
      <c r="J24" s="40" t="n"/>
    </row>
    <row r="25" ht="19.5" customHeight="1" s="105">
      <c r="A25" s="44" t="n"/>
      <c r="B25" s="44" t="n"/>
      <c r="C25" s="61" t="n"/>
      <c r="D25" s="23" t="n"/>
      <c r="E25" s="23" t="n"/>
      <c r="F25" s="59" t="n"/>
      <c r="G25" s="23" t="n"/>
      <c r="H25" s="44" t="n"/>
      <c r="I25" s="45" t="n"/>
      <c r="J25" s="44" t="n"/>
    </row>
    <row r="26" ht="19.5" customHeight="1" s="105">
      <c r="A26" s="40" t="n"/>
      <c r="B26" s="40" t="n"/>
      <c r="C26" s="65" t="n"/>
      <c r="D26" s="31" t="n"/>
      <c r="E26" s="31" t="n"/>
      <c r="F26" s="56" t="n"/>
      <c r="G26" s="31" t="n"/>
      <c r="H26" s="40" t="n"/>
      <c r="I26" s="42" t="n"/>
      <c r="J26" s="40" t="n"/>
    </row>
    <row r="27" ht="19.5" customHeight="1" s="105">
      <c r="A27" s="44" t="n"/>
      <c r="B27" s="44" t="n"/>
      <c r="C27" s="61" t="n"/>
      <c r="D27" s="23" t="n"/>
      <c r="E27" s="23" t="n"/>
      <c r="F27" s="59" t="n"/>
      <c r="G27" s="23" t="n"/>
      <c r="H27" s="44" t="n"/>
      <c r="I27" s="45" t="n"/>
      <c r="J27" s="44" t="n"/>
    </row>
    <row r="28" ht="19.5" customHeight="1" s="105">
      <c r="A28" s="40" t="n"/>
      <c r="B28" s="40" t="n"/>
      <c r="C28" s="65" t="n"/>
      <c r="D28" s="31" t="n"/>
      <c r="E28" s="31" t="n"/>
      <c r="F28" s="56" t="n"/>
      <c r="G28" s="31" t="n"/>
      <c r="H28" s="40" t="n"/>
      <c r="I28" s="42" t="n"/>
      <c r="J28" s="40" t="n"/>
    </row>
    <row r="29" ht="19.5" customHeight="1" s="105">
      <c r="A29" s="44" t="n"/>
      <c r="B29" s="44" t="n"/>
      <c r="C29" s="61" t="n"/>
      <c r="D29" s="23" t="n"/>
      <c r="E29" s="23" t="n"/>
      <c r="F29" s="59" t="n"/>
      <c r="G29" s="23" t="n"/>
      <c r="H29" s="44" t="n"/>
      <c r="I29" s="45" t="n"/>
      <c r="J29" s="44" t="n"/>
    </row>
    <row r="30" ht="19.5" customHeight="1" s="105">
      <c r="A30" s="40" t="n"/>
      <c r="B30" s="40" t="n"/>
      <c r="C30" s="65" t="n"/>
      <c r="D30" s="31" t="n"/>
      <c r="E30" s="31" t="n"/>
      <c r="F30" s="56" t="n"/>
      <c r="G30" s="31" t="n"/>
      <c r="H30" s="40" t="n"/>
      <c r="I30" s="42" t="n"/>
      <c r="J30" s="40" t="n"/>
    </row>
    <row r="31" ht="19.5" customHeight="1" s="105">
      <c r="A31" s="44" t="n"/>
      <c r="B31" s="44" t="n"/>
      <c r="C31" s="61" t="n"/>
      <c r="D31" s="23" t="n"/>
      <c r="E31" s="23" t="n"/>
      <c r="F31" s="59" t="n"/>
      <c r="G31" s="23" t="n"/>
      <c r="H31" s="44" t="n"/>
      <c r="I31" s="45" t="n"/>
      <c r="J31" s="44" t="n"/>
    </row>
    <row r="32" ht="19.5" customHeight="1" s="105">
      <c r="A32" s="40" t="n"/>
      <c r="B32" s="40" t="n"/>
      <c r="C32" s="65" t="n"/>
      <c r="D32" s="31" t="n"/>
      <c r="E32" s="31" t="n"/>
      <c r="F32" s="56" t="n"/>
      <c r="G32" s="31" t="n"/>
      <c r="H32" s="40" t="n"/>
      <c r="I32" s="42" t="n"/>
      <c r="J32" s="40" t="n"/>
    </row>
    <row r="33" ht="19.5" customHeight="1" s="105">
      <c r="A33" s="44" t="n"/>
      <c r="B33" s="44" t="n"/>
      <c r="C33" s="61" t="n"/>
      <c r="D33" s="23" t="n"/>
      <c r="E33" s="23" t="n"/>
      <c r="F33" s="59" t="n"/>
      <c r="G33" s="23" t="n"/>
      <c r="H33" s="44" t="n"/>
      <c r="I33" s="45" t="n"/>
      <c r="J33" s="44" t="n"/>
    </row>
    <row r="34" ht="19.5" customHeight="1" s="105">
      <c r="A34" s="40" t="n"/>
      <c r="B34" s="40" t="n"/>
      <c r="C34" s="65" t="n"/>
      <c r="D34" s="31" t="n"/>
      <c r="E34" s="31" t="n"/>
      <c r="F34" s="56" t="n"/>
      <c r="G34" s="31" t="n"/>
      <c r="H34" s="40" t="n"/>
      <c r="I34" s="42" t="n"/>
      <c r="J34" s="40" t="n"/>
    </row>
    <row r="35" ht="19.5" customHeight="1" s="105">
      <c r="A35" s="44" t="n"/>
      <c r="B35" s="44" t="n"/>
      <c r="C35" s="61" t="n"/>
      <c r="D35" s="23" t="n"/>
      <c r="E35" s="23" t="n"/>
      <c r="F35" s="59" t="n"/>
      <c r="G35" s="23" t="n"/>
      <c r="H35" s="44" t="n"/>
      <c r="I35" s="45" t="n"/>
      <c r="J35" s="44" t="n"/>
    </row>
    <row r="36" ht="19.5" customHeight="1" s="105">
      <c r="A36" s="40" t="n"/>
      <c r="B36" s="40" t="n"/>
      <c r="C36" s="65" t="n"/>
      <c r="D36" s="31" t="n"/>
      <c r="E36" s="31" t="n"/>
      <c r="F36" s="56" t="n"/>
      <c r="G36" s="31" t="n"/>
      <c r="H36" s="40" t="n"/>
      <c r="I36" s="42" t="n"/>
      <c r="J36" s="40" t="n"/>
    </row>
    <row r="37" ht="19.5" customHeight="1" s="105">
      <c r="A37" s="44" t="n"/>
      <c r="B37" s="44" t="n"/>
      <c r="C37" s="61" t="n"/>
      <c r="D37" s="23" t="n"/>
      <c r="E37" s="23" t="n"/>
      <c r="F37" s="59" t="n"/>
      <c r="G37" s="23" t="n"/>
      <c r="H37" s="44" t="n"/>
      <c r="I37" s="45" t="n"/>
      <c r="J37" s="44" t="n"/>
    </row>
    <row r="38" ht="19.5" customHeight="1" s="105">
      <c r="A38" s="40" t="n"/>
      <c r="B38" s="40" t="n"/>
      <c r="C38" s="65" t="n"/>
      <c r="D38" s="31" t="n"/>
      <c r="E38" s="31" t="n"/>
      <c r="F38" s="56" t="n"/>
      <c r="G38" s="31" t="n"/>
      <c r="H38" s="40" t="n"/>
      <c r="I38" s="42" t="n"/>
      <c r="J38" s="40" t="n"/>
    </row>
    <row r="39" ht="19.5" customHeight="1" s="105">
      <c r="A39" s="44" t="n"/>
      <c r="B39" s="44" t="n"/>
      <c r="C39" s="61" t="n"/>
      <c r="D39" s="23" t="n"/>
      <c r="E39" s="23" t="n"/>
      <c r="F39" s="59" t="n"/>
      <c r="G39" s="23" t="n"/>
      <c r="H39" s="44" t="n"/>
      <c r="I39" s="45" t="n"/>
      <c r="J39" s="44" t="n"/>
    </row>
    <row r="40" ht="19.5" customHeight="1" s="105">
      <c r="A40" s="40" t="n"/>
      <c r="B40" s="40" t="n"/>
      <c r="C40" s="65" t="n"/>
      <c r="D40" s="31" t="n"/>
      <c r="E40" s="31" t="n"/>
      <c r="F40" s="56" t="n"/>
      <c r="G40" s="31" t="n"/>
      <c r="H40" s="40" t="n"/>
      <c r="I40" s="42" t="n"/>
      <c r="J40" s="40" t="n"/>
    </row>
    <row r="41" ht="19.5" customHeight="1" s="105">
      <c r="A41" s="44" t="n"/>
      <c r="B41" s="44" t="n"/>
      <c r="C41" s="61" t="n"/>
      <c r="D41" s="23" t="n"/>
      <c r="E41" s="23" t="n"/>
      <c r="F41" s="59" t="n"/>
      <c r="G41" s="23" t="n"/>
      <c r="H41" s="44" t="n"/>
      <c r="I41" s="45" t="n"/>
      <c r="J41" s="44" t="n"/>
    </row>
    <row r="42" ht="19.5" customHeight="1" s="105">
      <c r="A42" s="40" t="n"/>
      <c r="B42" s="40" t="n"/>
      <c r="C42" s="65" t="n"/>
      <c r="D42" s="31" t="n"/>
      <c r="E42" s="31" t="n"/>
      <c r="F42" s="56" t="n"/>
      <c r="G42" s="31" t="n"/>
      <c r="H42" s="40" t="n"/>
      <c r="I42" s="42" t="n"/>
      <c r="J42" s="40" t="n"/>
    </row>
    <row r="43" ht="19.5" customHeight="1" s="105">
      <c r="A43" s="44" t="n"/>
      <c r="B43" s="44" t="n"/>
      <c r="C43" s="61" t="n"/>
      <c r="D43" s="23" t="n"/>
      <c r="E43" s="23" t="n"/>
      <c r="F43" s="59" t="n"/>
      <c r="G43" s="23" t="n"/>
      <c r="H43" s="44" t="n"/>
      <c r="I43" s="45" t="n"/>
      <c r="J43" s="44" t="n"/>
    </row>
    <row r="44" ht="19.5" customHeight="1" s="105">
      <c r="A44" s="40" t="n"/>
      <c r="B44" s="40" t="n"/>
      <c r="C44" s="65" t="n"/>
      <c r="D44" s="31" t="n"/>
      <c r="E44" s="31" t="n"/>
      <c r="F44" s="56" t="n"/>
      <c r="G44" s="31" t="n"/>
      <c r="H44" s="40" t="n"/>
      <c r="I44" s="42" t="n"/>
      <c r="J44" s="40" t="n"/>
    </row>
    <row r="45" ht="19.5" customHeight="1" s="105">
      <c r="A45" s="44" t="n"/>
      <c r="B45" s="44" t="n"/>
      <c r="C45" s="61" t="n"/>
      <c r="D45" s="23" t="n"/>
      <c r="E45" s="23" t="n"/>
      <c r="F45" s="59" t="n"/>
      <c r="G45" s="23" t="n"/>
      <c r="H45" s="44" t="n"/>
      <c r="I45" s="45" t="n"/>
      <c r="J45" s="44" t="n"/>
    </row>
    <row r="46" ht="19.5" customHeight="1" s="105">
      <c r="A46" s="40" t="n"/>
      <c r="B46" s="40" t="n"/>
      <c r="C46" s="65" t="n"/>
      <c r="D46" s="31" t="n"/>
      <c r="E46" s="31" t="n"/>
      <c r="F46" s="56" t="n"/>
      <c r="G46" s="31" t="n"/>
      <c r="H46" s="40" t="n"/>
      <c r="I46" s="42" t="n"/>
      <c r="J46" s="40" t="n"/>
    </row>
    <row r="47" ht="19.5" customHeight="1" s="105">
      <c r="A47" s="44" t="n"/>
      <c r="B47" s="44" t="n"/>
      <c r="C47" s="61" t="n"/>
      <c r="D47" s="23" t="n"/>
      <c r="E47" s="23" t="n"/>
      <c r="F47" s="59" t="n"/>
      <c r="G47" s="23" t="n"/>
      <c r="H47" s="44" t="n"/>
      <c r="I47" s="45" t="n"/>
      <c r="J47" s="44" t="n"/>
    </row>
    <row r="48" ht="19.5" customHeight="1" s="105">
      <c r="A48" s="40" t="n"/>
      <c r="B48" s="40" t="n"/>
      <c r="C48" s="65" t="n"/>
      <c r="D48" s="31" t="n"/>
      <c r="E48" s="31" t="n"/>
      <c r="F48" s="56" t="n"/>
      <c r="G48" s="31" t="n"/>
      <c r="H48" s="40" t="n"/>
      <c r="I48" s="42" t="n"/>
      <c r="J48" s="40" t="n"/>
    </row>
    <row r="49" ht="19.5" customHeight="1" s="105">
      <c r="A49" s="44" t="n"/>
      <c r="B49" s="44" t="n"/>
      <c r="C49" s="61" t="n"/>
      <c r="D49" s="23" t="n"/>
      <c r="E49" s="23" t="n"/>
      <c r="F49" s="59" t="n"/>
      <c r="G49" s="23" t="n"/>
      <c r="H49" s="44" t="n"/>
      <c r="I49" s="45" t="n"/>
      <c r="J49" s="44" t="n"/>
    </row>
    <row r="50" ht="19.5" customHeight="1" s="105">
      <c r="A50" s="40" t="n"/>
      <c r="B50" s="40" t="n"/>
      <c r="C50" s="65" t="n"/>
      <c r="D50" s="31" t="n"/>
      <c r="E50" s="31" t="n"/>
      <c r="F50" s="56" t="n"/>
      <c r="G50" s="31" t="n"/>
      <c r="H50" s="40" t="n"/>
      <c r="I50" s="42" t="n"/>
      <c r="J50" s="40" t="n"/>
    </row>
    <row r="51" ht="19.5" customHeight="1" s="105">
      <c r="A51" s="44" t="n"/>
      <c r="B51" s="44" t="n"/>
      <c r="C51" s="61" t="n"/>
      <c r="D51" s="23" t="n"/>
      <c r="E51" s="23" t="n"/>
      <c r="F51" s="59" t="n"/>
      <c r="G51" s="23" t="n"/>
      <c r="H51" s="44" t="n"/>
      <c r="I51" s="45" t="n"/>
      <c r="J51" s="44" t="n"/>
    </row>
    <row r="52" ht="19.5" customHeight="1" s="105">
      <c r="A52" s="40" t="n"/>
      <c r="B52" s="40" t="n"/>
      <c r="C52" s="65" t="n"/>
      <c r="D52" s="31" t="n"/>
      <c r="E52" s="31" t="n"/>
      <c r="F52" s="56" t="n"/>
      <c r="G52" s="31" t="n"/>
      <c r="H52" s="40" t="n"/>
      <c r="I52" s="42" t="n"/>
      <c r="J52" s="40" t="n"/>
    </row>
    <row r="53" ht="19.5" customHeight="1" s="105">
      <c r="A53" s="44" t="n"/>
      <c r="B53" s="44" t="n"/>
      <c r="C53" s="61" t="n"/>
      <c r="D53" s="23" t="n"/>
      <c r="E53" s="23" t="n"/>
      <c r="F53" s="59" t="n"/>
      <c r="G53" s="23" t="n"/>
      <c r="H53" s="44" t="n"/>
      <c r="I53" s="45" t="n"/>
      <c r="J53" s="44" t="n"/>
    </row>
    <row r="54" ht="15.75" customHeight="1" s="105"/>
    <row r="55" ht="15.75" customHeight="1" s="105"/>
    <row r="56" ht="15.75" customHeight="1" s="105"/>
    <row r="57" ht="15.75" customHeight="1" s="105"/>
    <row r="58" ht="15.75" customHeight="1" s="105"/>
    <row r="59" ht="15.75" customHeight="1" s="105"/>
    <row r="60" ht="15.75" customHeight="1" s="105"/>
    <row r="61" ht="15.75" customHeight="1" s="105"/>
    <row r="62" ht="15.75" customHeight="1" s="105"/>
    <row r="63" ht="15.75" customHeight="1" s="105"/>
    <row r="64" ht="15.75" customHeight="1" s="105"/>
    <row r="65" ht="15.75" customHeight="1" s="105"/>
    <row r="66" ht="15.75" customHeight="1" s="105"/>
    <row r="67" ht="15.75" customHeight="1" s="105"/>
    <row r="68" ht="15.75" customHeight="1" s="105"/>
    <row r="69" ht="15.75" customHeight="1" s="105"/>
    <row r="70" ht="15.75" customHeight="1" s="105"/>
    <row r="71" ht="15.75" customHeight="1" s="105"/>
    <row r="72" ht="15.75" customHeight="1" s="105"/>
    <row r="73" ht="15.75" customHeight="1" s="105"/>
    <row r="74" ht="15.75" customHeight="1" s="105"/>
    <row r="75" ht="15.75" customHeight="1" s="105"/>
    <row r="76" ht="15.75" customHeight="1" s="105"/>
    <row r="77" ht="15.75" customHeight="1" s="105"/>
    <row r="78" ht="15.75" customHeight="1" s="105"/>
    <row r="79" ht="15.75" customHeight="1" s="105"/>
    <row r="80" ht="15.75" customHeight="1" s="105"/>
    <row r="81" ht="15.75" customHeight="1" s="105"/>
    <row r="82" ht="15.75" customHeight="1" s="105"/>
    <row r="83" ht="15.75" customHeight="1" s="105"/>
    <row r="84" ht="15.75" customHeight="1" s="105"/>
    <row r="85" ht="15.75" customHeight="1" s="105"/>
    <row r="86" ht="15.75" customHeight="1" s="105"/>
    <row r="87" ht="15.75" customHeight="1" s="105"/>
    <row r="88" ht="15.75" customHeight="1" s="105"/>
    <row r="89" ht="15.75" customHeight="1" s="105"/>
    <row r="90" ht="15.75" customHeight="1" s="105"/>
    <row r="91" ht="15.75" customHeight="1" s="105"/>
    <row r="92" ht="15.75" customHeight="1" s="105"/>
    <row r="93" ht="15.75" customHeight="1" s="105"/>
    <row r="94" ht="15.75" customHeight="1" s="105"/>
    <row r="95" ht="15.75" customHeight="1" s="105"/>
    <row r="96" ht="15.75" customHeight="1" s="105"/>
    <row r="97" ht="15.75" customHeight="1" s="105"/>
    <row r="98" ht="15.75" customHeight="1" s="105"/>
    <row r="99" ht="15.75" customHeight="1" s="105"/>
    <row r="100" ht="15.75" customHeight="1" s="105"/>
    <row r="101" ht="15.75" customHeight="1" s="105"/>
    <row r="102" ht="15.75" customHeight="1" s="105"/>
    <row r="103" ht="15.75" customHeight="1" s="105"/>
    <row r="104" ht="15.75" customHeight="1" s="105"/>
    <row r="105" ht="15.75" customHeight="1" s="105"/>
    <row r="106" ht="15.75" customHeight="1" s="105"/>
    <row r="107" ht="15.75" customHeight="1" s="105"/>
    <row r="108" ht="15.75" customHeight="1" s="105"/>
    <row r="109" ht="15.75" customHeight="1" s="105"/>
    <row r="110" ht="15.75" customHeight="1" s="105"/>
    <row r="111" ht="15.75" customHeight="1" s="105"/>
    <row r="112" ht="15.75" customHeight="1" s="105"/>
    <row r="113" ht="15.75" customHeight="1" s="105"/>
    <row r="114" ht="15.75" customHeight="1" s="105"/>
    <row r="115" ht="15.75" customHeight="1" s="105"/>
    <row r="116" ht="15.75" customHeight="1" s="105"/>
    <row r="117" ht="15.75" customHeight="1" s="105"/>
    <row r="118" ht="15.75" customHeight="1" s="105"/>
    <row r="119" ht="15.75" customHeight="1" s="105"/>
    <row r="120" ht="15.75" customHeight="1" s="105"/>
    <row r="121" ht="15.75" customHeight="1" s="105"/>
    <row r="122" ht="15.75" customHeight="1" s="105"/>
    <row r="123" ht="15.75" customHeight="1" s="105"/>
    <row r="124" ht="15.75" customHeight="1" s="105"/>
    <row r="125" ht="15.75" customHeight="1" s="105"/>
    <row r="126" ht="15.75" customHeight="1" s="105"/>
    <row r="127" ht="15.75" customHeight="1" s="105"/>
    <row r="128" ht="15.75" customHeight="1" s="105"/>
    <row r="129" ht="15.75" customHeight="1" s="105"/>
    <row r="130" ht="15.75" customHeight="1" s="105"/>
    <row r="131" ht="15.75" customHeight="1" s="105"/>
    <row r="132" ht="15.75" customHeight="1" s="105"/>
    <row r="133" ht="15.75" customHeight="1" s="105"/>
    <row r="134" ht="15.75" customHeight="1" s="105"/>
    <row r="135" ht="15.75" customHeight="1" s="105"/>
    <row r="136" ht="15.75" customHeight="1" s="105"/>
    <row r="137" ht="15.75" customHeight="1" s="105"/>
    <row r="138" ht="15.75" customHeight="1" s="105"/>
    <row r="139" ht="15.75" customHeight="1" s="105"/>
    <row r="140" ht="15.75" customHeight="1" s="105"/>
    <row r="141" ht="15.75" customHeight="1" s="105"/>
    <row r="142" ht="15.75" customHeight="1" s="105"/>
    <row r="143" ht="15.75" customHeight="1" s="105"/>
    <row r="144" ht="15.75" customHeight="1" s="105"/>
    <row r="145" ht="15.75" customHeight="1" s="105"/>
    <row r="146" ht="15.75" customHeight="1" s="105"/>
    <row r="147" ht="15.75" customHeight="1" s="105"/>
    <row r="148" ht="15.75" customHeight="1" s="105"/>
    <row r="149" ht="15.75" customHeight="1" s="105"/>
    <row r="150" ht="15.75" customHeight="1" s="105"/>
    <row r="151" ht="15.75" customHeight="1" s="105"/>
    <row r="152" ht="15.75" customHeight="1" s="105"/>
    <row r="153" ht="15.75" customHeight="1" s="105"/>
    <row r="154" ht="15.75" customHeight="1" s="105"/>
    <row r="155" ht="15.75" customHeight="1" s="105"/>
    <row r="156" ht="15.75" customHeight="1" s="105"/>
    <row r="157" ht="15.75" customHeight="1" s="105"/>
    <row r="158" ht="15.75" customHeight="1" s="105"/>
    <row r="159" ht="15.75" customHeight="1" s="105"/>
    <row r="160" ht="15.75" customHeight="1" s="105"/>
    <row r="161" ht="15.75" customHeight="1" s="105"/>
    <row r="162" ht="15.75" customHeight="1" s="105"/>
    <row r="163" ht="15.75" customHeight="1" s="105"/>
    <row r="164" ht="15.75" customHeight="1" s="105"/>
    <row r="165" ht="15.75" customHeight="1" s="105"/>
    <row r="166" ht="15.75" customHeight="1" s="105"/>
    <row r="167" ht="15.75" customHeight="1" s="105"/>
    <row r="168" ht="15.75" customHeight="1" s="105"/>
    <row r="169" ht="15.75" customHeight="1" s="105"/>
    <row r="170" ht="15.75" customHeight="1" s="105"/>
    <row r="171" ht="15.75" customHeight="1" s="105"/>
    <row r="172" ht="15.75" customHeight="1" s="105"/>
    <row r="173" ht="15.75" customHeight="1" s="105"/>
    <row r="174" ht="15.75" customHeight="1" s="105"/>
    <row r="175" ht="15.75" customHeight="1" s="105"/>
    <row r="176" ht="15.75" customHeight="1" s="105"/>
    <row r="177" ht="15.75" customHeight="1" s="105"/>
    <row r="178" ht="15.75" customHeight="1" s="105"/>
    <row r="179" ht="15.75" customHeight="1" s="105"/>
    <row r="180" ht="15.75" customHeight="1" s="105"/>
    <row r="181" ht="15.75" customHeight="1" s="105"/>
    <row r="182" ht="15.75" customHeight="1" s="105"/>
    <row r="183" ht="15.75" customHeight="1" s="105"/>
    <row r="184" ht="15.75" customHeight="1" s="105"/>
    <row r="185" ht="15.75" customHeight="1" s="105"/>
    <row r="186" ht="15.75" customHeight="1" s="105"/>
    <row r="187" ht="15.75" customHeight="1" s="105"/>
    <row r="188" ht="15.75" customHeight="1" s="105"/>
    <row r="189" ht="15.75" customHeight="1" s="105"/>
    <row r="190" ht="15.75" customHeight="1" s="105"/>
    <row r="191" ht="15.75" customHeight="1" s="105"/>
    <row r="192" ht="15.75" customHeight="1" s="105"/>
    <row r="193" ht="15.75" customHeight="1" s="105"/>
    <row r="194" ht="15.75" customHeight="1" s="105"/>
    <row r="195" ht="15.75" customHeight="1" s="105"/>
    <row r="196" ht="15.75" customHeight="1" s="105"/>
    <row r="197" ht="15.75" customHeight="1" s="105"/>
    <row r="198" ht="15.75" customHeight="1" s="105"/>
    <row r="199" ht="15.75" customHeight="1" s="105"/>
    <row r="200" ht="15.75" customHeight="1" s="105"/>
    <row r="201" ht="15.75" customHeight="1" s="105"/>
    <row r="202" ht="15.75" customHeight="1" s="105"/>
    <row r="203" ht="15.75" customHeight="1" s="105"/>
    <row r="204" ht="15.75" customHeight="1" s="105"/>
    <row r="205" ht="15.75" customHeight="1" s="105"/>
    <row r="206" ht="15.75" customHeight="1" s="105"/>
    <row r="207" ht="15.75" customHeight="1" s="105"/>
    <row r="208" ht="15.75" customHeight="1" s="105"/>
    <row r="209" ht="15.75" customHeight="1" s="105"/>
    <row r="210" ht="15.75" customHeight="1" s="105"/>
    <row r="211" ht="15.75" customHeight="1" s="105"/>
    <row r="212" ht="15.75" customHeight="1" s="105"/>
    <row r="213" ht="15.75" customHeight="1" s="105"/>
    <row r="214" ht="15.75" customHeight="1" s="105"/>
    <row r="215" ht="15.75" customHeight="1" s="105"/>
    <row r="216" ht="15.75" customHeight="1" s="105"/>
    <row r="217" ht="15.75" customHeight="1" s="105"/>
    <row r="218" ht="15.75" customHeight="1" s="105"/>
    <row r="219" ht="15.75" customHeight="1" s="105"/>
    <row r="220" ht="15.75" customHeight="1" s="105"/>
    <row r="221" ht="15.75" customHeight="1" s="105"/>
    <row r="222" ht="15.75" customHeight="1" s="105"/>
    <row r="223" ht="15.75" customHeight="1" s="105"/>
    <row r="224" ht="15.75" customHeight="1" s="105"/>
    <row r="225" ht="15.75" customHeight="1" s="105"/>
    <row r="226" ht="15.75" customHeight="1" s="105"/>
    <row r="227" ht="15.75" customHeight="1" s="105"/>
    <row r="228" ht="15.75" customHeight="1" s="105"/>
    <row r="229" ht="15.75" customHeight="1" s="105"/>
    <row r="230" ht="15.75" customHeight="1" s="105"/>
    <row r="231" ht="15.75" customHeight="1" s="105"/>
    <row r="232" ht="15.75" customHeight="1" s="105"/>
    <row r="233" ht="15.75" customHeight="1" s="105"/>
    <row r="234" ht="15.75" customHeight="1" s="105"/>
    <row r="235" ht="15.75" customHeight="1" s="105"/>
    <row r="236" ht="15.75" customHeight="1" s="105"/>
    <row r="237" ht="15.75" customHeight="1" s="105"/>
    <row r="238" ht="15.75" customHeight="1" s="105"/>
    <row r="239" ht="15.75" customHeight="1" s="105"/>
    <row r="240" ht="15.75" customHeight="1" s="105"/>
    <row r="241" ht="15.75" customHeight="1" s="105"/>
    <row r="242" ht="15.75" customHeight="1" s="105"/>
    <row r="243" ht="15.75" customHeight="1" s="105"/>
    <row r="244" ht="15.75" customHeight="1" s="105"/>
    <row r="245" ht="15.75" customHeight="1" s="105"/>
    <row r="246" ht="15.75" customHeight="1" s="105"/>
    <row r="247" ht="15.75" customHeight="1" s="105"/>
    <row r="248" ht="15.75" customHeight="1" s="105"/>
    <row r="249" ht="15.75" customHeight="1" s="105"/>
    <row r="250" ht="15.75" customHeight="1" s="105"/>
    <row r="251" ht="15.75" customHeight="1" s="105"/>
    <row r="252" ht="15.75" customHeight="1" s="105"/>
    <row r="253" ht="15.75" customHeight="1" s="105"/>
    <row r="254" ht="15.75" customHeight="1" s="105"/>
    <row r="255" ht="15.75" customHeight="1" s="105"/>
    <row r="256" ht="15.75" customHeight="1" s="105"/>
    <row r="257" ht="15.75" customHeight="1" s="105"/>
    <row r="258" ht="15.75" customHeight="1" s="105"/>
    <row r="259" ht="15.75" customHeight="1" s="105"/>
    <row r="260" ht="15.75" customHeight="1" s="105"/>
    <row r="261" ht="15.75" customHeight="1" s="105"/>
    <row r="262" ht="15.75" customHeight="1" s="105"/>
    <row r="263" ht="15.75" customHeight="1" s="105"/>
    <row r="264" ht="15.75" customHeight="1" s="105"/>
    <row r="265" ht="15.75" customHeight="1" s="105"/>
    <row r="266" ht="15.75" customHeight="1" s="105"/>
    <row r="267" ht="15.75" customHeight="1" s="105"/>
    <row r="268" ht="15.75" customHeight="1" s="105"/>
    <row r="269" ht="15.75" customHeight="1" s="105"/>
    <row r="270" ht="15.75" customHeight="1" s="105"/>
    <row r="271" ht="15.75" customHeight="1" s="105"/>
    <row r="272" ht="15.75" customHeight="1" s="105"/>
    <row r="273" ht="15.75" customHeight="1" s="105"/>
    <row r="274" ht="15.75" customHeight="1" s="105"/>
    <row r="275" ht="15.75" customHeight="1" s="105"/>
    <row r="276" ht="15.75" customHeight="1" s="105"/>
    <row r="277" ht="15.75" customHeight="1" s="105"/>
    <row r="278" ht="15.75" customHeight="1" s="105"/>
    <row r="279" ht="15.75" customHeight="1" s="105"/>
    <row r="280" ht="15.75" customHeight="1" s="105"/>
    <row r="281" ht="15.75" customHeight="1" s="105"/>
    <row r="282" ht="15.75" customHeight="1" s="105"/>
    <row r="283" ht="15.75" customHeight="1" s="105"/>
    <row r="284" ht="15.75" customHeight="1" s="105"/>
    <row r="285" ht="15.75" customHeight="1" s="105"/>
    <row r="286" ht="15.75" customHeight="1" s="105"/>
    <row r="287" ht="15.75" customHeight="1" s="105"/>
    <row r="288" ht="15.75" customHeight="1" s="105"/>
    <row r="289" ht="15.75" customHeight="1" s="105"/>
    <row r="290" ht="15.75" customHeight="1" s="105"/>
    <row r="291" ht="15.75" customHeight="1" s="105"/>
    <row r="292" ht="15.75" customHeight="1" s="105"/>
    <row r="293" ht="15.75" customHeight="1" s="105"/>
    <row r="294" ht="15.75" customHeight="1" s="105"/>
    <row r="295" ht="15.75" customHeight="1" s="105"/>
    <row r="296" ht="15.75" customHeight="1" s="105"/>
    <row r="297" ht="15.75" customHeight="1" s="105"/>
    <row r="298" ht="15.75" customHeight="1" s="105"/>
    <row r="299" ht="15.75" customHeight="1" s="105"/>
    <row r="300" ht="15.75" customHeight="1" s="105"/>
    <row r="301" ht="15.75" customHeight="1" s="105"/>
    <row r="302" ht="15.75" customHeight="1" s="105"/>
    <row r="303" ht="15.75" customHeight="1" s="105"/>
    <row r="304" ht="15.75" customHeight="1" s="105"/>
    <row r="305" ht="15.75" customHeight="1" s="105"/>
    <row r="306" ht="15.75" customHeight="1" s="105"/>
    <row r="307" ht="15.75" customHeight="1" s="105"/>
    <row r="308" ht="15.75" customHeight="1" s="105"/>
    <row r="309" ht="15.75" customHeight="1" s="105"/>
    <row r="310" ht="15.75" customHeight="1" s="105"/>
    <row r="311" ht="15.75" customHeight="1" s="105"/>
    <row r="312" ht="15.75" customHeight="1" s="105"/>
    <row r="313" ht="15.75" customHeight="1" s="105"/>
    <row r="314" ht="15.75" customHeight="1" s="105"/>
    <row r="315" ht="15.75" customHeight="1" s="105"/>
    <row r="316" ht="15.75" customHeight="1" s="105"/>
    <row r="317" ht="15.75" customHeight="1" s="105"/>
    <row r="318" ht="15.75" customHeight="1" s="105"/>
    <row r="319" ht="15.75" customHeight="1" s="105"/>
    <row r="320" ht="15.75" customHeight="1" s="105"/>
    <row r="321" ht="15.75" customHeight="1" s="105"/>
    <row r="322" ht="15.75" customHeight="1" s="105"/>
    <row r="323" ht="15.75" customHeight="1" s="105"/>
    <row r="324" ht="15.75" customHeight="1" s="105"/>
    <row r="325" ht="15.75" customHeight="1" s="105"/>
    <row r="326" ht="15.75" customHeight="1" s="105"/>
    <row r="327" ht="15.75" customHeight="1" s="105"/>
    <row r="328" ht="15.75" customHeight="1" s="105"/>
    <row r="329" ht="15.75" customHeight="1" s="105"/>
    <row r="330" ht="15.75" customHeight="1" s="105"/>
    <row r="331" ht="15.75" customHeight="1" s="105"/>
    <row r="332" ht="15.75" customHeight="1" s="105"/>
    <row r="333" ht="15.75" customHeight="1" s="105"/>
    <row r="334" ht="15.75" customHeight="1" s="105"/>
    <row r="335" ht="15.75" customHeight="1" s="105"/>
    <row r="336" ht="15.75" customHeight="1" s="105"/>
    <row r="337" ht="15.75" customHeight="1" s="105"/>
    <row r="338" ht="15.75" customHeight="1" s="105"/>
    <row r="339" ht="15.75" customHeight="1" s="105"/>
    <row r="340" ht="15.75" customHeight="1" s="105"/>
    <row r="341" ht="15.75" customHeight="1" s="105"/>
    <row r="342" ht="15.75" customHeight="1" s="105"/>
    <row r="343" ht="15.75" customHeight="1" s="105"/>
    <row r="344" ht="15.75" customHeight="1" s="105"/>
    <row r="345" ht="15.75" customHeight="1" s="105"/>
    <row r="346" ht="15.75" customHeight="1" s="105"/>
    <row r="347" ht="15.75" customHeight="1" s="105"/>
    <row r="348" ht="15.75" customHeight="1" s="105"/>
    <row r="349" ht="15.75" customHeight="1" s="105"/>
    <row r="350" ht="15.75" customHeight="1" s="105"/>
    <row r="351" ht="15.75" customHeight="1" s="105"/>
    <row r="352" ht="15.75" customHeight="1" s="105"/>
    <row r="353" ht="15.75" customHeight="1" s="105"/>
    <row r="354" ht="15.75" customHeight="1" s="105"/>
    <row r="355" ht="15.75" customHeight="1" s="105"/>
    <row r="356" ht="15.75" customHeight="1" s="105"/>
    <row r="357" ht="15.75" customHeight="1" s="105"/>
    <row r="358" ht="15.75" customHeight="1" s="105"/>
    <row r="359" ht="15.75" customHeight="1" s="105"/>
    <row r="360" ht="15.75" customHeight="1" s="105"/>
    <row r="361" ht="15.75" customHeight="1" s="105"/>
    <row r="362" ht="15.75" customHeight="1" s="105"/>
    <row r="363" ht="15.75" customHeight="1" s="105"/>
    <row r="364" ht="15.75" customHeight="1" s="105"/>
    <row r="365" ht="15.75" customHeight="1" s="105"/>
    <row r="366" ht="15.75" customHeight="1" s="105"/>
    <row r="367" ht="15.75" customHeight="1" s="105"/>
    <row r="368" ht="15.75" customHeight="1" s="105"/>
    <row r="369" ht="15.75" customHeight="1" s="105"/>
    <row r="370" ht="15.75" customHeight="1" s="105"/>
    <row r="371" ht="15.75" customHeight="1" s="105"/>
    <row r="372" ht="15.75" customHeight="1" s="105"/>
    <row r="373" ht="15.75" customHeight="1" s="105"/>
    <row r="374" ht="15.75" customHeight="1" s="105"/>
    <row r="375" ht="15.75" customHeight="1" s="105"/>
    <row r="376" ht="15.75" customHeight="1" s="105"/>
    <row r="377" ht="15.75" customHeight="1" s="105"/>
    <row r="378" ht="15.75" customHeight="1" s="105"/>
    <row r="379" ht="15.75" customHeight="1" s="105"/>
    <row r="380" ht="15.75" customHeight="1" s="105"/>
    <row r="381" ht="15.75" customHeight="1" s="105"/>
    <row r="382" ht="15.75" customHeight="1" s="105"/>
    <row r="383" ht="15.75" customHeight="1" s="105"/>
    <row r="384" ht="15.75" customHeight="1" s="105"/>
    <row r="385" ht="15.75" customHeight="1" s="105"/>
    <row r="386" ht="15.75" customHeight="1" s="105"/>
    <row r="387" ht="15.75" customHeight="1" s="105"/>
    <row r="388" ht="15.75" customHeight="1" s="105"/>
    <row r="389" ht="15.75" customHeight="1" s="105"/>
    <row r="390" ht="15.75" customHeight="1" s="105"/>
    <row r="391" ht="15.75" customHeight="1" s="105"/>
    <row r="392" ht="15.75" customHeight="1" s="105"/>
    <row r="393" ht="15.75" customHeight="1" s="105"/>
    <row r="394" ht="15.75" customHeight="1" s="105"/>
    <row r="395" ht="15.75" customHeight="1" s="105"/>
    <row r="396" ht="15.75" customHeight="1" s="105"/>
    <row r="397" ht="15.75" customHeight="1" s="105"/>
    <row r="398" ht="15.75" customHeight="1" s="105"/>
    <row r="399" ht="15.75" customHeight="1" s="105"/>
    <row r="400" ht="15.75" customHeight="1" s="105"/>
    <row r="401" ht="15.75" customHeight="1" s="105"/>
    <row r="402" ht="15.75" customHeight="1" s="105"/>
    <row r="403" ht="15.75" customHeight="1" s="105"/>
    <row r="404" ht="15.75" customHeight="1" s="105"/>
    <row r="405" ht="15.75" customHeight="1" s="105"/>
    <row r="406" ht="15.75" customHeight="1" s="105"/>
    <row r="407" ht="15.75" customHeight="1" s="105"/>
    <row r="408" ht="15.75" customHeight="1" s="105"/>
    <row r="409" ht="15.75" customHeight="1" s="105"/>
    <row r="410" ht="15.75" customHeight="1" s="105"/>
    <row r="411" ht="15.75" customHeight="1" s="105"/>
    <row r="412" ht="15.75" customHeight="1" s="105"/>
    <row r="413" ht="15.75" customHeight="1" s="105"/>
    <row r="414" ht="15.75" customHeight="1" s="105"/>
    <row r="415" ht="15.75" customHeight="1" s="105"/>
    <row r="416" ht="15.75" customHeight="1" s="105"/>
    <row r="417" ht="15.75" customHeight="1" s="105"/>
    <row r="418" ht="15.75" customHeight="1" s="105"/>
    <row r="419" ht="15.75" customHeight="1" s="105"/>
    <row r="420" ht="15.75" customHeight="1" s="105"/>
    <row r="421" ht="15.75" customHeight="1" s="105"/>
    <row r="422" ht="15.75" customHeight="1" s="105"/>
    <row r="423" ht="15.75" customHeight="1" s="105"/>
    <row r="424" ht="15.75" customHeight="1" s="105"/>
    <row r="425" ht="15.75" customHeight="1" s="105"/>
    <row r="426" ht="15.75" customHeight="1" s="105"/>
    <row r="427" ht="15.75" customHeight="1" s="105"/>
    <row r="428" ht="15.75" customHeight="1" s="105"/>
    <row r="429" ht="15.75" customHeight="1" s="105"/>
    <row r="430" ht="15.75" customHeight="1" s="105"/>
    <row r="431" ht="15.75" customHeight="1" s="105"/>
    <row r="432" ht="15.75" customHeight="1" s="105"/>
    <row r="433" ht="15.75" customHeight="1" s="105"/>
    <row r="434" ht="15.75" customHeight="1" s="105"/>
    <row r="435" ht="15.75" customHeight="1" s="105"/>
    <row r="436" ht="15.75" customHeight="1" s="105"/>
    <row r="437" ht="15.75" customHeight="1" s="105"/>
    <row r="438" ht="15.75" customHeight="1" s="105"/>
    <row r="439" ht="15.75" customHeight="1" s="105"/>
    <row r="440" ht="15.75" customHeight="1" s="105"/>
    <row r="441" ht="15.75" customHeight="1" s="105"/>
    <row r="442" ht="15.75" customHeight="1" s="105"/>
    <row r="443" ht="15.75" customHeight="1" s="105"/>
    <row r="444" ht="15.75" customHeight="1" s="105"/>
    <row r="445" ht="15.75" customHeight="1" s="105"/>
    <row r="446" ht="15.75" customHeight="1" s="105"/>
    <row r="447" ht="15.75" customHeight="1" s="105"/>
    <row r="448" ht="15.75" customHeight="1" s="105"/>
    <row r="449" ht="15.75" customHeight="1" s="105"/>
    <row r="450" ht="15.75" customHeight="1" s="105"/>
    <row r="451" ht="15.75" customHeight="1" s="105"/>
    <row r="452" ht="15.75" customHeight="1" s="105"/>
    <row r="453" ht="15.75" customHeight="1" s="105"/>
    <row r="454" ht="15.75" customHeight="1" s="105"/>
    <row r="455" ht="15.75" customHeight="1" s="105"/>
    <row r="456" ht="15.75" customHeight="1" s="105"/>
    <row r="457" ht="15.75" customHeight="1" s="105"/>
    <row r="458" ht="15.75" customHeight="1" s="105"/>
    <row r="459" ht="15.75" customHeight="1" s="105"/>
    <row r="460" ht="15.75" customHeight="1" s="105"/>
    <row r="461" ht="15.75" customHeight="1" s="105"/>
    <row r="462" ht="15.75" customHeight="1" s="105"/>
    <row r="463" ht="15.75" customHeight="1" s="105"/>
    <row r="464" ht="15.75" customHeight="1" s="105"/>
    <row r="465" ht="15.75" customHeight="1" s="105"/>
    <row r="466" ht="15.75" customHeight="1" s="105"/>
    <row r="467" ht="15.75" customHeight="1" s="105"/>
    <row r="468" ht="15.75" customHeight="1" s="105"/>
    <row r="469" ht="15.75" customHeight="1" s="105"/>
    <row r="470" ht="15.75" customHeight="1" s="105"/>
    <row r="471" ht="15.75" customHeight="1" s="105"/>
    <row r="472" ht="15.75" customHeight="1" s="105"/>
    <row r="473" ht="15.75" customHeight="1" s="105"/>
    <row r="474" ht="15.75" customHeight="1" s="105"/>
    <row r="475" ht="15.75" customHeight="1" s="105"/>
    <row r="476" ht="15.75" customHeight="1" s="105"/>
    <row r="477" ht="15.75" customHeight="1" s="105"/>
    <row r="478" ht="15.75" customHeight="1" s="105"/>
    <row r="479" ht="15.75" customHeight="1" s="105"/>
    <row r="480" ht="15.75" customHeight="1" s="105"/>
    <row r="481" ht="15.75" customHeight="1" s="105"/>
    <row r="482" ht="15.75" customHeight="1" s="105"/>
    <row r="483" ht="15.75" customHeight="1" s="105"/>
    <row r="484" ht="15.75" customHeight="1" s="105"/>
    <row r="485" ht="15.75" customHeight="1" s="105"/>
    <row r="486" ht="15.75" customHeight="1" s="105"/>
    <row r="487" ht="15.75" customHeight="1" s="105"/>
    <row r="488" ht="15.75" customHeight="1" s="105"/>
    <row r="489" ht="15.75" customHeight="1" s="105"/>
    <row r="490" ht="15.75" customHeight="1" s="105"/>
    <row r="491" ht="15.75" customHeight="1" s="105"/>
    <row r="492" ht="15.75" customHeight="1" s="105"/>
    <row r="493" ht="15.75" customHeight="1" s="105"/>
    <row r="494" ht="15.75" customHeight="1" s="105"/>
    <row r="495" ht="15.75" customHeight="1" s="105"/>
    <row r="496" ht="15.75" customHeight="1" s="105"/>
    <row r="497" ht="15.75" customHeight="1" s="105"/>
    <row r="498" ht="15.75" customHeight="1" s="105"/>
    <row r="499" ht="15.75" customHeight="1" s="105"/>
    <row r="500" ht="15.75" customHeight="1" s="105"/>
    <row r="501" ht="15.75" customHeight="1" s="105"/>
    <row r="502" ht="15.75" customHeight="1" s="105"/>
    <row r="503" ht="15.75" customHeight="1" s="105"/>
    <row r="504" ht="15.75" customHeight="1" s="105"/>
    <row r="505" ht="15.75" customHeight="1" s="105"/>
    <row r="506" ht="15.75" customHeight="1" s="105"/>
    <row r="507" ht="15.75" customHeight="1" s="105"/>
    <row r="508" ht="15.75" customHeight="1" s="105"/>
    <row r="509" ht="15.75" customHeight="1" s="105"/>
    <row r="510" ht="15.75" customHeight="1" s="105"/>
    <row r="511" ht="15.75" customHeight="1" s="105"/>
    <row r="512" ht="15.75" customHeight="1" s="105"/>
    <row r="513" ht="15.75" customHeight="1" s="105"/>
    <row r="514" ht="15.75" customHeight="1" s="105"/>
    <row r="515" ht="15.75" customHeight="1" s="105"/>
    <row r="516" ht="15.75" customHeight="1" s="105"/>
    <row r="517" ht="15.75" customHeight="1" s="105"/>
    <row r="518" ht="15.75" customHeight="1" s="105"/>
    <row r="519" ht="15.75" customHeight="1" s="105"/>
    <row r="520" ht="15.75" customHeight="1" s="105"/>
    <row r="521" ht="15.75" customHeight="1" s="105"/>
    <row r="522" ht="15.75" customHeight="1" s="105"/>
    <row r="523" ht="15.75" customHeight="1" s="105"/>
    <row r="524" ht="15.75" customHeight="1" s="105"/>
    <row r="525" ht="15.75" customHeight="1" s="105"/>
    <row r="526" ht="15.75" customHeight="1" s="105"/>
    <row r="527" ht="15.75" customHeight="1" s="105"/>
    <row r="528" ht="15.75" customHeight="1" s="105"/>
    <row r="529" ht="15.75" customHeight="1" s="105"/>
    <row r="530" ht="15.75" customHeight="1" s="105"/>
    <row r="531" ht="15.75" customHeight="1" s="105"/>
    <row r="532" ht="15.75" customHeight="1" s="105"/>
    <row r="533" ht="15.75" customHeight="1" s="105"/>
    <row r="534" ht="15.75" customHeight="1" s="105"/>
    <row r="535" ht="15.75" customHeight="1" s="105"/>
    <row r="536" ht="15.75" customHeight="1" s="105"/>
    <row r="537" ht="15.75" customHeight="1" s="105"/>
    <row r="538" ht="15.75" customHeight="1" s="105"/>
    <row r="539" ht="15.75" customHeight="1" s="105"/>
    <row r="540" ht="15.75" customHeight="1" s="105"/>
    <row r="541" ht="15.75" customHeight="1" s="105"/>
    <row r="542" ht="15.75" customHeight="1" s="105"/>
    <row r="543" ht="15.75" customHeight="1" s="105"/>
    <row r="544" ht="15.75" customHeight="1" s="105"/>
    <row r="545" ht="15.75" customHeight="1" s="105"/>
    <row r="546" ht="15.75" customHeight="1" s="105"/>
    <row r="547" ht="15.75" customHeight="1" s="105"/>
    <row r="548" ht="15.75" customHeight="1" s="105"/>
    <row r="549" ht="15.75" customHeight="1" s="105"/>
    <row r="550" ht="15.75" customHeight="1" s="105"/>
    <row r="551" ht="15.75" customHeight="1" s="105"/>
    <row r="552" ht="15.75" customHeight="1" s="105"/>
    <row r="553" ht="15.75" customHeight="1" s="105"/>
    <row r="554" ht="15.75" customHeight="1" s="105"/>
    <row r="555" ht="15.75" customHeight="1" s="105"/>
    <row r="556" ht="15.75" customHeight="1" s="105"/>
    <row r="557" ht="15.75" customHeight="1" s="105"/>
    <row r="558" ht="15.75" customHeight="1" s="105"/>
    <row r="559" ht="15.75" customHeight="1" s="105"/>
    <row r="560" ht="15.75" customHeight="1" s="105"/>
    <row r="561" ht="15.75" customHeight="1" s="105"/>
    <row r="562" ht="15.75" customHeight="1" s="105"/>
    <row r="563" ht="15.75" customHeight="1" s="105"/>
    <row r="564" ht="15.75" customHeight="1" s="105"/>
    <row r="565" ht="15.75" customHeight="1" s="105"/>
    <row r="566" ht="15.75" customHeight="1" s="105"/>
    <row r="567" ht="15.75" customHeight="1" s="105"/>
    <row r="568" ht="15.75" customHeight="1" s="105"/>
    <row r="569" ht="15.75" customHeight="1" s="105"/>
    <row r="570" ht="15.75" customHeight="1" s="105"/>
    <row r="571" ht="15.75" customHeight="1" s="105"/>
    <row r="572" ht="15.75" customHeight="1" s="105"/>
    <row r="573" ht="15.75" customHeight="1" s="105"/>
    <row r="574" ht="15.75" customHeight="1" s="105"/>
    <row r="575" ht="15.75" customHeight="1" s="105"/>
    <row r="576" ht="15.75" customHeight="1" s="105"/>
    <row r="577" ht="15.75" customHeight="1" s="105"/>
    <row r="578" ht="15.75" customHeight="1" s="105"/>
    <row r="579" ht="15.75" customHeight="1" s="105"/>
    <row r="580" ht="15.75" customHeight="1" s="105"/>
    <row r="581" ht="15.75" customHeight="1" s="105"/>
    <row r="582" ht="15.75" customHeight="1" s="105"/>
    <row r="583" ht="15.75" customHeight="1" s="105"/>
    <row r="584" ht="15.75" customHeight="1" s="105"/>
    <row r="585" ht="15.75" customHeight="1" s="105"/>
    <row r="586" ht="15.75" customHeight="1" s="105"/>
    <row r="587" ht="15.75" customHeight="1" s="105"/>
    <row r="588" ht="15.75" customHeight="1" s="105"/>
    <row r="589" ht="15.75" customHeight="1" s="105"/>
    <row r="590" ht="15.75" customHeight="1" s="105"/>
    <row r="591" ht="15.75" customHeight="1" s="105"/>
    <row r="592" ht="15.75" customHeight="1" s="105"/>
    <row r="593" ht="15.75" customHeight="1" s="105"/>
    <row r="594" ht="15.75" customHeight="1" s="105"/>
    <row r="595" ht="15.75" customHeight="1" s="105"/>
    <row r="596" ht="15.75" customHeight="1" s="105"/>
    <row r="597" ht="15.75" customHeight="1" s="105"/>
    <row r="598" ht="15.75" customHeight="1" s="105"/>
    <row r="599" ht="15.75" customHeight="1" s="105"/>
    <row r="600" ht="15.75" customHeight="1" s="105"/>
    <row r="601" ht="15.75" customHeight="1" s="105"/>
    <row r="602" ht="15.75" customHeight="1" s="105"/>
    <row r="603" ht="15.75" customHeight="1" s="105"/>
    <row r="604" ht="15.75" customHeight="1" s="105"/>
    <row r="605" ht="15.75" customHeight="1" s="105"/>
    <row r="606" ht="15.75" customHeight="1" s="105"/>
    <row r="607" ht="15.75" customHeight="1" s="105"/>
    <row r="608" ht="15.75" customHeight="1" s="105"/>
    <row r="609" ht="15.75" customHeight="1" s="105"/>
    <row r="610" ht="15.75" customHeight="1" s="105"/>
    <row r="611" ht="15.75" customHeight="1" s="105"/>
    <row r="612" ht="15.75" customHeight="1" s="105"/>
    <row r="613" ht="15.75" customHeight="1" s="105"/>
    <row r="614" ht="15.75" customHeight="1" s="105"/>
    <row r="615" ht="15.75" customHeight="1" s="105"/>
    <row r="616" ht="15.75" customHeight="1" s="105"/>
    <row r="617" ht="15.75" customHeight="1" s="105"/>
    <row r="618" ht="15.75" customHeight="1" s="105"/>
    <row r="619" ht="15.75" customHeight="1" s="105"/>
    <row r="620" ht="15.75" customHeight="1" s="105"/>
    <row r="621" ht="15.75" customHeight="1" s="105"/>
    <row r="622" ht="15.75" customHeight="1" s="105"/>
    <row r="623" ht="15.75" customHeight="1" s="105"/>
    <row r="624" ht="15.75" customHeight="1" s="105"/>
    <row r="625" ht="15.75" customHeight="1" s="105"/>
    <row r="626" ht="15.75" customHeight="1" s="105"/>
    <row r="627" ht="15.75" customHeight="1" s="105"/>
    <row r="628" ht="15.75" customHeight="1" s="105"/>
    <row r="629" ht="15.75" customHeight="1" s="105"/>
    <row r="630" ht="15.75" customHeight="1" s="105"/>
    <row r="631" ht="15.75" customHeight="1" s="105"/>
    <row r="632" ht="15.75" customHeight="1" s="105"/>
    <row r="633" ht="15.75" customHeight="1" s="105"/>
    <row r="634" ht="15.75" customHeight="1" s="105"/>
    <row r="635" ht="15.75" customHeight="1" s="105"/>
    <row r="636" ht="15.75" customHeight="1" s="105"/>
    <row r="637" ht="15.75" customHeight="1" s="105"/>
    <row r="638" ht="15.75" customHeight="1" s="105"/>
    <row r="639" ht="15.75" customHeight="1" s="105"/>
    <row r="640" ht="15.75" customHeight="1" s="105"/>
    <row r="641" ht="15.75" customHeight="1" s="105"/>
    <row r="642" ht="15.75" customHeight="1" s="105"/>
    <row r="643" ht="15.75" customHeight="1" s="105"/>
    <row r="644" ht="15.75" customHeight="1" s="105"/>
    <row r="645" ht="15.75" customHeight="1" s="105"/>
    <row r="646" ht="15.75" customHeight="1" s="105"/>
    <row r="647" ht="15.75" customHeight="1" s="105"/>
    <row r="648" ht="15.75" customHeight="1" s="105"/>
    <row r="649" ht="15.75" customHeight="1" s="105"/>
    <row r="650" ht="15.75" customHeight="1" s="105"/>
    <row r="651" ht="15.75" customHeight="1" s="105"/>
    <row r="652" ht="15.75" customHeight="1" s="105"/>
    <row r="653" ht="15.75" customHeight="1" s="105"/>
    <row r="654" ht="15.75" customHeight="1" s="105"/>
    <row r="655" ht="15.75" customHeight="1" s="105"/>
    <row r="656" ht="15.75" customHeight="1" s="105"/>
    <row r="657" ht="15.75" customHeight="1" s="105"/>
    <row r="658" ht="15.75" customHeight="1" s="105"/>
    <row r="659" ht="15.75" customHeight="1" s="105"/>
    <row r="660" ht="15.75" customHeight="1" s="105"/>
    <row r="661" ht="15.75" customHeight="1" s="105"/>
    <row r="662" ht="15.75" customHeight="1" s="105"/>
    <row r="663" ht="15.75" customHeight="1" s="105"/>
    <row r="664" ht="15.75" customHeight="1" s="105"/>
    <row r="665" ht="15.75" customHeight="1" s="105"/>
    <row r="666" ht="15.75" customHeight="1" s="105"/>
    <row r="667" ht="15.75" customHeight="1" s="105"/>
    <row r="668" ht="15.75" customHeight="1" s="105"/>
    <row r="669" ht="15.75" customHeight="1" s="105"/>
    <row r="670" ht="15.75" customHeight="1" s="105"/>
    <row r="671" ht="15.75" customHeight="1" s="105"/>
    <row r="672" ht="15.75" customHeight="1" s="105"/>
    <row r="673" ht="15.75" customHeight="1" s="105"/>
    <row r="674" ht="15.75" customHeight="1" s="105"/>
    <row r="675" ht="15.75" customHeight="1" s="105"/>
    <row r="676" ht="15.75" customHeight="1" s="105"/>
    <row r="677" ht="15.75" customHeight="1" s="105"/>
    <row r="678" ht="15.75" customHeight="1" s="105"/>
    <row r="679" ht="15.75" customHeight="1" s="105"/>
    <row r="680" ht="15.75" customHeight="1" s="105"/>
    <row r="681" ht="15.75" customHeight="1" s="105"/>
    <row r="682" ht="15.75" customHeight="1" s="105"/>
    <row r="683" ht="15.75" customHeight="1" s="105"/>
    <row r="684" ht="15.75" customHeight="1" s="105"/>
    <row r="685" ht="15.75" customHeight="1" s="105"/>
    <row r="686" ht="15.75" customHeight="1" s="105"/>
    <row r="687" ht="15.75" customHeight="1" s="105"/>
    <row r="688" ht="15.75" customHeight="1" s="105"/>
    <row r="689" ht="15.75" customHeight="1" s="105"/>
    <row r="690" ht="15.75" customHeight="1" s="105"/>
    <row r="691" ht="15.75" customHeight="1" s="105"/>
    <row r="692" ht="15.75" customHeight="1" s="105"/>
    <row r="693" ht="15.75" customHeight="1" s="105"/>
    <row r="694" ht="15.75" customHeight="1" s="105"/>
    <row r="695" ht="15.75" customHeight="1" s="105"/>
    <row r="696" ht="15.75" customHeight="1" s="105"/>
    <row r="697" ht="15.75" customHeight="1" s="105"/>
    <row r="698" ht="15.75" customHeight="1" s="105"/>
    <row r="699" ht="15.75" customHeight="1" s="105"/>
    <row r="700" ht="15.75" customHeight="1" s="105"/>
    <row r="701" ht="15.75" customHeight="1" s="105"/>
    <row r="702" ht="15.75" customHeight="1" s="105"/>
    <row r="703" ht="15.75" customHeight="1" s="105"/>
    <row r="704" ht="15.75" customHeight="1" s="105"/>
    <row r="705" ht="15.75" customHeight="1" s="105"/>
    <row r="706" ht="15.75" customHeight="1" s="105"/>
    <row r="707" ht="15.75" customHeight="1" s="105"/>
    <row r="708" ht="15.75" customHeight="1" s="105"/>
    <row r="709" ht="15.75" customHeight="1" s="105"/>
    <row r="710" ht="15.75" customHeight="1" s="105"/>
    <row r="711" ht="15.75" customHeight="1" s="105"/>
    <row r="712" ht="15.75" customHeight="1" s="105"/>
    <row r="713" ht="15.75" customHeight="1" s="105"/>
    <row r="714" ht="15.75" customHeight="1" s="105"/>
    <row r="715" ht="15.75" customHeight="1" s="105"/>
    <row r="716" ht="15.75" customHeight="1" s="105"/>
    <row r="717" ht="15.75" customHeight="1" s="105"/>
    <row r="718" ht="15.75" customHeight="1" s="105"/>
    <row r="719" ht="15.75" customHeight="1" s="105"/>
    <row r="720" ht="15.75" customHeight="1" s="105"/>
    <row r="721" ht="15.75" customHeight="1" s="105"/>
    <row r="722" ht="15.75" customHeight="1" s="105"/>
    <row r="723" ht="15.75" customHeight="1" s="105"/>
    <row r="724" ht="15.75" customHeight="1" s="105"/>
    <row r="725" ht="15.75" customHeight="1" s="105"/>
    <row r="726" ht="15.75" customHeight="1" s="105"/>
    <row r="727" ht="15.75" customHeight="1" s="105"/>
    <row r="728" ht="15.75" customHeight="1" s="105"/>
    <row r="729" ht="15.75" customHeight="1" s="105"/>
    <row r="730" ht="15.75" customHeight="1" s="105"/>
    <row r="731" ht="15.75" customHeight="1" s="105"/>
    <row r="732" ht="15.75" customHeight="1" s="105"/>
    <row r="733" ht="15.75" customHeight="1" s="105"/>
    <row r="734" ht="15.75" customHeight="1" s="105"/>
    <row r="735" ht="15.75" customHeight="1" s="105"/>
    <row r="736" ht="15.75" customHeight="1" s="105"/>
    <row r="737" ht="15.75" customHeight="1" s="105"/>
    <row r="738" ht="15.75" customHeight="1" s="105"/>
    <row r="739" ht="15.75" customHeight="1" s="105"/>
    <row r="740" ht="15.75" customHeight="1" s="105"/>
    <row r="741" ht="15.75" customHeight="1" s="105"/>
    <row r="742" ht="15.75" customHeight="1" s="105"/>
    <row r="743" ht="15.75" customHeight="1" s="105"/>
    <row r="744" ht="15.75" customHeight="1" s="105"/>
    <row r="745" ht="15.75" customHeight="1" s="105"/>
    <row r="746" ht="15.75" customHeight="1" s="105"/>
    <row r="747" ht="15.75" customHeight="1" s="105"/>
    <row r="748" ht="15.75" customHeight="1" s="105"/>
    <row r="749" ht="15.75" customHeight="1" s="105"/>
    <row r="750" ht="15.75" customHeight="1" s="105"/>
    <row r="751" ht="15.75" customHeight="1" s="105"/>
    <row r="752" ht="15.75" customHeight="1" s="105"/>
    <row r="753" ht="15.75" customHeight="1" s="105"/>
    <row r="754" ht="15.75" customHeight="1" s="105"/>
    <row r="755" ht="15.75" customHeight="1" s="105"/>
    <row r="756" ht="15.75" customHeight="1" s="105"/>
    <row r="757" ht="15.75" customHeight="1" s="105"/>
    <row r="758" ht="15.75" customHeight="1" s="105"/>
    <row r="759" ht="15.75" customHeight="1" s="105"/>
    <row r="760" ht="15.75" customHeight="1" s="105"/>
    <row r="761" ht="15.75" customHeight="1" s="105"/>
    <row r="762" ht="15.75" customHeight="1" s="105"/>
    <row r="763" ht="15.75" customHeight="1" s="105"/>
    <row r="764" ht="15.75" customHeight="1" s="105"/>
    <row r="765" ht="15.75" customHeight="1" s="105"/>
    <row r="766" ht="15.75" customHeight="1" s="105"/>
    <row r="767" ht="15.75" customHeight="1" s="105"/>
    <row r="768" ht="15.75" customHeight="1" s="105"/>
    <row r="769" ht="15.75" customHeight="1" s="105"/>
    <row r="770" ht="15.75" customHeight="1" s="105"/>
    <row r="771" ht="15.75" customHeight="1" s="105"/>
    <row r="772" ht="15.75" customHeight="1" s="105"/>
    <row r="773" ht="15.75" customHeight="1" s="105"/>
    <row r="774" ht="15.75" customHeight="1" s="105"/>
    <row r="775" ht="15.75" customHeight="1" s="105"/>
    <row r="776" ht="15.75" customHeight="1" s="105"/>
    <row r="777" ht="15.75" customHeight="1" s="105"/>
    <row r="778" ht="15.75" customHeight="1" s="105"/>
    <row r="779" ht="15.75" customHeight="1" s="105"/>
    <row r="780" ht="15.75" customHeight="1" s="105"/>
    <row r="781" ht="15.75" customHeight="1" s="105"/>
    <row r="782" ht="15.75" customHeight="1" s="105"/>
    <row r="783" ht="15.75" customHeight="1" s="105"/>
    <row r="784" ht="15.75" customHeight="1" s="105"/>
    <row r="785" ht="15.75" customHeight="1" s="105"/>
    <row r="786" ht="15.75" customHeight="1" s="105"/>
    <row r="787" ht="15.75" customHeight="1" s="105"/>
    <row r="788" ht="15.75" customHeight="1" s="105"/>
    <row r="789" ht="15.75" customHeight="1" s="105"/>
    <row r="790" ht="15.75" customHeight="1" s="105"/>
    <row r="791" ht="15.75" customHeight="1" s="105"/>
    <row r="792" ht="15.75" customHeight="1" s="105"/>
    <row r="793" ht="15.75" customHeight="1" s="105"/>
    <row r="794" ht="15.75" customHeight="1" s="105"/>
    <row r="795" ht="15.75" customHeight="1" s="105"/>
    <row r="796" ht="15.75" customHeight="1" s="105"/>
    <row r="797" ht="15.75" customHeight="1" s="105"/>
    <row r="798" ht="15.75" customHeight="1" s="105"/>
    <row r="799" ht="15.75" customHeight="1" s="105"/>
    <row r="800" ht="15.75" customHeight="1" s="105"/>
    <row r="801" ht="15.75" customHeight="1" s="105"/>
    <row r="802" ht="15.75" customHeight="1" s="105"/>
    <row r="803" ht="15.75" customHeight="1" s="105"/>
    <row r="804" ht="15.75" customHeight="1" s="105"/>
    <row r="805" ht="15.75" customHeight="1" s="105"/>
    <row r="806" ht="15.75" customHeight="1" s="105"/>
    <row r="807" ht="15.75" customHeight="1" s="105"/>
    <row r="808" ht="15.75" customHeight="1" s="105"/>
    <row r="809" ht="15.75" customHeight="1" s="105"/>
    <row r="810" ht="15.75" customHeight="1" s="105"/>
    <row r="811" ht="15.75" customHeight="1" s="105"/>
    <row r="812" ht="15.75" customHeight="1" s="105"/>
    <row r="813" ht="15.75" customHeight="1" s="105"/>
    <row r="814" ht="15.75" customHeight="1" s="105"/>
    <row r="815" ht="15.75" customHeight="1" s="105"/>
    <row r="816" ht="15.75" customHeight="1" s="105"/>
    <row r="817" ht="15.75" customHeight="1" s="105"/>
    <row r="818" ht="15.75" customHeight="1" s="105"/>
    <row r="819" ht="15.75" customHeight="1" s="105"/>
    <row r="820" ht="15.75" customHeight="1" s="105"/>
    <row r="821" ht="15.75" customHeight="1" s="105"/>
    <row r="822" ht="15.75" customHeight="1" s="105"/>
    <row r="823" ht="15.75" customHeight="1" s="105"/>
    <row r="824" ht="15.75" customHeight="1" s="105"/>
    <row r="825" ht="15.75" customHeight="1" s="105"/>
    <row r="826" ht="15.75" customHeight="1" s="105"/>
    <row r="827" ht="15.75" customHeight="1" s="105"/>
    <row r="828" ht="15.75" customHeight="1" s="105"/>
    <row r="829" ht="15.75" customHeight="1" s="105"/>
    <row r="830" ht="15.75" customHeight="1" s="105"/>
    <row r="831" ht="15.75" customHeight="1" s="105"/>
    <row r="832" ht="15.75" customHeight="1" s="105"/>
    <row r="833" ht="15.75" customHeight="1" s="105"/>
    <row r="834" ht="15.75" customHeight="1" s="105"/>
    <row r="835" ht="15.75" customHeight="1" s="105"/>
    <row r="836" ht="15.75" customHeight="1" s="105"/>
    <row r="837" ht="15.75" customHeight="1" s="105"/>
    <row r="838" ht="15.75" customHeight="1" s="105"/>
    <row r="839" ht="15.75" customHeight="1" s="105"/>
    <row r="840" ht="15.75" customHeight="1" s="105"/>
    <row r="841" ht="15.75" customHeight="1" s="105"/>
    <row r="842" ht="15.75" customHeight="1" s="105"/>
    <row r="843" ht="15.75" customHeight="1" s="105"/>
    <row r="844" ht="15.75" customHeight="1" s="105"/>
    <row r="845" ht="15.75" customHeight="1" s="105"/>
    <row r="846" ht="15.75" customHeight="1" s="105"/>
    <row r="847" ht="15.75" customHeight="1" s="105"/>
    <row r="848" ht="15.75" customHeight="1" s="105"/>
    <row r="849" ht="15.75" customHeight="1" s="105"/>
    <row r="850" ht="15.75" customHeight="1" s="105"/>
    <row r="851" ht="15.75" customHeight="1" s="105"/>
    <row r="852" ht="15.75" customHeight="1" s="105"/>
    <row r="853" ht="15.75" customHeight="1" s="105"/>
    <row r="854" ht="15.75" customHeight="1" s="105"/>
    <row r="855" ht="15.75" customHeight="1" s="105"/>
    <row r="856" ht="15.75" customHeight="1" s="105"/>
    <row r="857" ht="15.75" customHeight="1" s="105"/>
    <row r="858" ht="15.75" customHeight="1" s="105"/>
    <row r="859" ht="15.75" customHeight="1" s="105"/>
    <row r="860" ht="15.75" customHeight="1" s="105"/>
    <row r="861" ht="15.75" customHeight="1" s="105"/>
    <row r="862" ht="15.75" customHeight="1" s="105"/>
    <row r="863" ht="15.75" customHeight="1" s="105"/>
    <row r="864" ht="15.75" customHeight="1" s="105"/>
    <row r="865" ht="15.75" customHeight="1" s="105"/>
    <row r="866" ht="15.75" customHeight="1" s="105"/>
    <row r="867" ht="15.75" customHeight="1" s="105"/>
    <row r="868" ht="15.75" customHeight="1" s="105"/>
    <row r="869" ht="15.75" customHeight="1" s="105"/>
    <row r="870" ht="15.75" customHeight="1" s="105"/>
    <row r="871" ht="15.75" customHeight="1" s="105"/>
    <row r="872" ht="15.75" customHeight="1" s="105"/>
    <row r="873" ht="15.75" customHeight="1" s="105"/>
    <row r="874" ht="15.75" customHeight="1" s="105"/>
    <row r="875" ht="15.75" customHeight="1" s="105"/>
    <row r="876" ht="15.75" customHeight="1" s="105"/>
    <row r="877" ht="15.75" customHeight="1" s="105"/>
    <row r="878" ht="15.75" customHeight="1" s="105"/>
    <row r="879" ht="15.75" customHeight="1" s="105"/>
    <row r="880" ht="15.75" customHeight="1" s="105"/>
    <row r="881" ht="15.75" customHeight="1" s="105"/>
    <row r="882" ht="15.75" customHeight="1" s="105"/>
    <row r="883" ht="15.75" customHeight="1" s="105"/>
    <row r="884" ht="15.75" customHeight="1" s="105"/>
    <row r="885" ht="15.75" customHeight="1" s="105"/>
    <row r="886" ht="15.75" customHeight="1" s="105"/>
    <row r="887" ht="15.75" customHeight="1" s="105"/>
    <row r="888" ht="15.75" customHeight="1" s="105"/>
    <row r="889" ht="15.75" customHeight="1" s="105"/>
    <row r="890" ht="15.75" customHeight="1" s="105"/>
    <row r="891" ht="15.75" customHeight="1" s="105"/>
    <row r="892" ht="15.75" customHeight="1" s="105"/>
    <row r="893" ht="15.75" customHeight="1" s="105"/>
    <row r="894" ht="15.75" customHeight="1" s="105"/>
    <row r="895" ht="15.75" customHeight="1" s="105"/>
    <row r="896" ht="15.75" customHeight="1" s="105"/>
    <row r="897" ht="15.75" customHeight="1" s="105"/>
    <row r="898" ht="15.75" customHeight="1" s="105"/>
    <row r="899" ht="15.75" customHeight="1" s="105"/>
    <row r="900" ht="15.75" customHeight="1" s="105"/>
    <row r="901" ht="15.75" customHeight="1" s="105"/>
    <row r="902" ht="15.75" customHeight="1" s="105"/>
    <row r="903" ht="15.75" customHeight="1" s="105"/>
    <row r="904" ht="15.75" customHeight="1" s="105"/>
    <row r="905" ht="15.75" customHeight="1" s="105"/>
    <row r="906" ht="15.75" customHeight="1" s="105"/>
    <row r="907" ht="15.75" customHeight="1" s="105"/>
    <row r="908" ht="15.75" customHeight="1" s="105"/>
    <row r="909" ht="15.75" customHeight="1" s="105"/>
    <row r="910" ht="15.75" customHeight="1" s="105"/>
    <row r="911" ht="15.75" customHeight="1" s="105"/>
    <row r="912" ht="15.75" customHeight="1" s="105"/>
    <row r="913" ht="15.75" customHeight="1" s="105"/>
    <row r="914" ht="15.75" customHeight="1" s="105"/>
    <row r="915" ht="15.75" customHeight="1" s="105"/>
    <row r="916" ht="15.75" customHeight="1" s="105"/>
    <row r="917" ht="15.75" customHeight="1" s="105"/>
    <row r="918" ht="15.75" customHeight="1" s="105"/>
    <row r="919" ht="15.75" customHeight="1" s="105"/>
    <row r="920" ht="15.75" customHeight="1" s="105"/>
    <row r="921" ht="15.75" customHeight="1" s="105"/>
    <row r="922" ht="15.75" customHeight="1" s="105"/>
    <row r="923" ht="15.75" customHeight="1" s="105"/>
    <row r="924" ht="15.75" customHeight="1" s="105"/>
    <row r="925" ht="15.75" customHeight="1" s="105"/>
    <row r="926" ht="15.75" customHeight="1" s="105"/>
    <row r="927" ht="15.75" customHeight="1" s="105"/>
    <row r="928" ht="15.75" customHeight="1" s="105"/>
    <row r="929" ht="15.75" customHeight="1" s="105"/>
    <row r="930" ht="15.75" customHeight="1" s="105"/>
    <row r="931" ht="15.75" customHeight="1" s="105"/>
    <row r="932" ht="15.75" customHeight="1" s="105"/>
    <row r="933" ht="15.75" customHeight="1" s="105"/>
    <row r="934" ht="15.75" customHeight="1" s="105"/>
    <row r="935" ht="15.75" customHeight="1" s="105"/>
    <row r="936" ht="15.75" customHeight="1" s="105"/>
    <row r="937" ht="15.75" customHeight="1" s="105"/>
    <row r="938" ht="15.75" customHeight="1" s="105"/>
    <row r="939" ht="15.75" customHeight="1" s="105"/>
    <row r="940" ht="15.75" customHeight="1" s="105"/>
    <row r="941" ht="15.75" customHeight="1" s="105"/>
    <row r="942" ht="15.75" customHeight="1" s="105"/>
    <row r="943" ht="15.75" customHeight="1" s="105"/>
    <row r="944" ht="15.75" customHeight="1" s="105"/>
    <row r="945" ht="15.75" customHeight="1" s="105"/>
    <row r="946" ht="15.75" customHeight="1" s="105"/>
    <row r="947" ht="15.75" customHeight="1" s="105"/>
    <row r="948" ht="15.75" customHeight="1" s="105"/>
    <row r="949" ht="15.75" customHeight="1" s="105"/>
    <row r="950" ht="15.75" customHeight="1" s="105"/>
    <row r="951" ht="15.75" customHeight="1" s="105"/>
    <row r="952" ht="15.75" customHeight="1" s="105"/>
    <row r="953" ht="15.75" customHeight="1" s="105"/>
    <row r="954" ht="15.75" customHeight="1" s="105"/>
    <row r="955" ht="15.75" customHeight="1" s="105"/>
    <row r="956" ht="15.75" customHeight="1" s="105"/>
    <row r="957" ht="15.75" customHeight="1" s="105"/>
    <row r="958" ht="15.75" customHeight="1" s="105"/>
    <row r="959" ht="15.75" customHeight="1" s="105"/>
    <row r="960" ht="15.75" customHeight="1" s="105"/>
    <row r="961" ht="15.75" customHeight="1" s="105"/>
    <row r="962" ht="15.75" customHeight="1" s="105"/>
    <row r="963" ht="15.75" customHeight="1" s="105"/>
    <row r="964" ht="15.75" customHeight="1" s="105"/>
    <row r="965" ht="15.75" customHeight="1" s="105"/>
    <row r="966" ht="15.75" customHeight="1" s="105"/>
    <row r="967" ht="15.75" customHeight="1" s="105"/>
    <row r="968" ht="15.75" customHeight="1" s="105"/>
    <row r="969" ht="15.75" customHeight="1" s="105"/>
    <row r="970" ht="15.75" customHeight="1" s="105"/>
    <row r="971" ht="15.75" customHeight="1" s="105"/>
    <row r="972" ht="15.75" customHeight="1" s="105"/>
    <row r="973" ht="15.75" customHeight="1" s="105"/>
    <row r="974" ht="15.75" customHeight="1" s="105"/>
    <row r="975" ht="15.75" customHeight="1" s="105"/>
    <row r="976" ht="15.75" customHeight="1" s="105"/>
    <row r="977" ht="15.75" customHeight="1" s="105"/>
    <row r="978" ht="15.75" customHeight="1" s="105"/>
    <row r="979" ht="15.75" customHeight="1" s="105"/>
    <row r="980" ht="15.75" customHeight="1" s="105"/>
    <row r="981" ht="15.75" customHeight="1" s="105"/>
    <row r="982" ht="15.75" customHeight="1" s="105"/>
    <row r="983" ht="15.75" customHeight="1" s="105"/>
    <row r="984" ht="15.75" customHeight="1" s="105"/>
    <row r="985" ht="15.75" customHeight="1" s="105"/>
    <row r="986" ht="15.75" customHeight="1" s="105"/>
    <row r="987" ht="15.75" customHeight="1" s="105"/>
    <row r="988" ht="15.75" customHeight="1" s="105"/>
    <row r="989" ht="15.75" customHeight="1" s="105"/>
    <row r="990" ht="15.75" customHeight="1" s="105"/>
    <row r="991" ht="15.75" customHeight="1" s="105"/>
    <row r="992" ht="15.75" customHeight="1" s="105"/>
    <row r="993" ht="15.75" customHeight="1" s="105"/>
    <row r="994" ht="15.75" customHeight="1" s="105"/>
    <row r="995" ht="15.75" customHeight="1" s="105"/>
    <row r="996" ht="15.75" customHeight="1" s="105"/>
    <row r="997" ht="15.75" customHeight="1" s="105"/>
    <row r="998" ht="15.75" customHeight="1" s="105"/>
    <row r="999" ht="15.75" customHeight="1" s="105"/>
    <row r="1000" ht="15.75" customHeight="1" s="105"/>
  </sheetData>
  <mergeCells count="1">
    <mergeCell ref="A1:J1"/>
  </mergeCells>
  <conditionalFormatting sqref="F4:F53">
    <cfRule type="colorScale" priority="1">
      <colorScale>
        <cfvo type="formula" val="0"/>
        <cfvo type="formula" val="50"/>
        <cfvo type="formula" val="100"/>
        <color rgb="FFEF4444"/>
        <color rgb="FFF59E0B"/>
        <color rgb="FF21E68A"/>
      </colorScale>
    </cfRule>
  </conditionalFormatting>
  <pageMargins left="0.75" right="0.75" top="1" bottom="1" header="0" footer="0"/>
  <pageSetup orientation="portrait" paperSize="9"/>
</worksheet>
</file>

<file path=xl/worksheets/sheet6.xml><?xml version="1.0" encoding="utf-8"?>
<worksheet xmlns="http://schemas.openxmlformats.org/spreadsheetml/2006/main">
  <sheetPr>
    <tabColor rgb="FF4A5568"/>
    <outlinePr summaryBelow="1" summaryRight="1"/>
    <pageSetUpPr/>
  </sheetPr>
  <dimension ref="B1:P1000"/>
  <sheetViews>
    <sheetView showGridLines="0" workbookViewId="0">
      <selection activeCell="A1" sqref="A1"/>
    </sheetView>
  </sheetViews>
  <sheetFormatPr baseColWidth="8" defaultColWidth="14.43" defaultRowHeight="15" customHeight="1"/>
  <cols>
    <col width="3" customWidth="1" style="105" min="1" max="1"/>
    <col width="60" customWidth="1" style="105" min="2" max="2"/>
    <col width="0.14" customWidth="1" style="105" min="3" max="3"/>
    <col width="8.710000000000001" customWidth="1" style="105" min="4" max="26"/>
  </cols>
  <sheetData>
    <row r="1" ht="39.75" customHeight="1" s="105">
      <c r="B1" s="129" t="inlineStr">
        <is>
          <t>⚡  ECON GROWTH  ·  COMMAND OS COLD CALL SYSTEM</t>
        </is>
      </c>
      <c r="G1" s="97" t="n"/>
      <c r="H1" s="97" t="n"/>
      <c r="I1" s="97" t="n"/>
      <c r="J1" s="97" t="n"/>
      <c r="K1" s="97" t="n"/>
      <c r="L1" s="97" t="n"/>
      <c r="M1" s="97" t="n"/>
      <c r="N1" s="97" t="n"/>
      <c r="O1" s="97" t="n"/>
      <c r="P1" s="97" t="n"/>
    </row>
    <row r="2" ht="13.5" customHeight="1" s="105">
      <c r="B2" s="98" t="n"/>
      <c r="D2" s="97" t="n"/>
      <c r="E2" s="97" t="n"/>
      <c r="F2" s="97" t="n"/>
      <c r="G2" s="97" t="n"/>
      <c r="H2" s="97" t="n"/>
      <c r="I2" s="97" t="n"/>
      <c r="J2" s="97" t="n"/>
      <c r="K2" s="97" t="n"/>
      <c r="L2" s="97" t="n"/>
      <c r="M2" s="97" t="n"/>
      <c r="N2" s="97" t="n"/>
      <c r="O2" s="97" t="n"/>
      <c r="P2" s="97" t="n"/>
    </row>
    <row r="3" ht="24" customHeight="1" s="105">
      <c r="B3" s="99" t="inlineStr">
        <is>
          <t>HOW THIS SYSTEM WORKS</t>
        </is>
      </c>
      <c r="D3" s="97" t="n"/>
      <c r="E3" s="97" t="n"/>
      <c r="F3" s="97" t="n"/>
      <c r="G3" s="97" t="n"/>
      <c r="H3" s="97" t="n"/>
      <c r="I3" s="97" t="n"/>
      <c r="J3" s="97" t="n"/>
      <c r="K3" s="97" t="n"/>
      <c r="L3" s="97" t="n"/>
      <c r="M3" s="97" t="n"/>
      <c r="N3" s="97" t="n"/>
      <c r="O3" s="97" t="n"/>
      <c r="P3" s="97" t="n"/>
    </row>
    <row r="4" ht="18" customHeight="1" s="105">
      <c r="B4" s="98" t="n"/>
      <c r="D4" s="97" t="n"/>
      <c r="E4" s="97" t="n"/>
      <c r="F4" s="97" t="n"/>
      <c r="G4" s="97" t="n"/>
      <c r="H4" s="97" t="n"/>
      <c r="I4" s="97" t="n"/>
      <c r="J4" s="97" t="n"/>
      <c r="K4" s="97" t="n"/>
      <c r="L4" s="97" t="n"/>
      <c r="M4" s="97" t="n"/>
      <c r="N4" s="97" t="n"/>
      <c r="O4" s="97" t="n"/>
      <c r="P4" s="97" t="n"/>
    </row>
    <row r="5" ht="19.5" customHeight="1" s="105">
      <c r="B5" s="100" t="inlineStr">
        <is>
          <t>📞  SHEET 1: ⚡ COMMAND TRACKER</t>
        </is>
      </c>
      <c r="D5" s="97" t="n"/>
      <c r="E5" s="97" t="n"/>
      <c r="F5" s="97" t="n"/>
      <c r="G5" s="97" t="n"/>
      <c r="H5" s="97" t="n"/>
      <c r="I5" s="97" t="n"/>
      <c r="J5" s="97" t="n"/>
      <c r="K5" s="97" t="n"/>
      <c r="L5" s="97" t="n"/>
      <c r="M5" s="97" t="n"/>
      <c r="N5" s="97" t="n"/>
      <c r="O5" s="97" t="n"/>
      <c r="P5" s="97" t="n"/>
    </row>
    <row r="6" ht="18" customHeight="1" s="105">
      <c r="B6" s="101" t="inlineStr">
        <is>
          <t xml:space="preserve">   Your main data entry sheet. Enter one company per row.</t>
        </is>
      </c>
      <c r="D6" s="97" t="n"/>
      <c r="E6" s="97" t="n"/>
      <c r="F6" s="97" t="n"/>
      <c r="G6" s="97" t="n"/>
      <c r="H6" s="97" t="n"/>
      <c r="I6" s="97" t="n"/>
      <c r="J6" s="97" t="n"/>
      <c r="K6" s="97" t="n"/>
      <c r="L6" s="97" t="n"/>
      <c r="M6" s="97" t="n"/>
      <c r="N6" s="97" t="n"/>
      <c r="O6" s="97" t="n"/>
      <c r="P6" s="97" t="n"/>
    </row>
    <row r="7" ht="18" customHeight="1" s="105">
      <c r="B7" s="101" t="inlineStr">
        <is>
          <t xml:space="preserve">   Fill left to right during or after each call.</t>
        </is>
      </c>
      <c r="D7" s="97" t="n"/>
      <c r="E7" s="97" t="n"/>
      <c r="F7" s="97" t="n"/>
      <c r="G7" s="97" t="n"/>
      <c r="H7" s="97" t="n"/>
      <c r="I7" s="97" t="n"/>
      <c r="J7" s="97" t="n"/>
      <c r="K7" s="97" t="n"/>
      <c r="L7" s="97" t="n"/>
      <c r="M7" s="97" t="n"/>
      <c r="N7" s="97" t="n"/>
      <c r="O7" s="97" t="n"/>
      <c r="P7" s="97" t="n"/>
    </row>
    <row r="8" ht="18" customHeight="1" s="105">
      <c r="B8" s="101" t="inlineStr">
        <is>
          <t xml:space="preserve">   AI Fit Score auto-calculates from: truck count, DM reached, open to meeting, and pain severity.</t>
        </is>
      </c>
      <c r="E8" s="97" t="n"/>
      <c r="F8" s="97" t="n"/>
      <c r="G8" s="97" t="n"/>
      <c r="H8" s="97" t="n"/>
      <c r="I8" s="97" t="n"/>
      <c r="J8" s="97" t="n"/>
      <c r="K8" s="97" t="n"/>
      <c r="L8" s="97" t="n"/>
      <c r="M8" s="97" t="n"/>
      <c r="N8" s="97" t="n"/>
      <c r="O8" s="97" t="n"/>
      <c r="P8" s="97" t="n"/>
    </row>
    <row r="9" ht="18" customHeight="1" s="105">
      <c r="B9" s="101" t="inlineStr">
        <is>
          <t xml:space="preserve">   The Pain Score auto-weights Recruiting, Retention, Ops, and Revenue pain (Severe=4, Moderate=3, Minor=2).</t>
        </is>
      </c>
      <c r="F9" s="97" t="n"/>
      <c r="G9" s="97" t="n"/>
      <c r="H9" s="97" t="n"/>
      <c r="I9" s="97" t="n"/>
      <c r="J9" s="97" t="n"/>
      <c r="K9" s="97" t="n"/>
      <c r="L9" s="97" t="n"/>
      <c r="M9" s="97" t="n"/>
      <c r="N9" s="97" t="n"/>
      <c r="O9" s="97" t="n"/>
      <c r="P9" s="97" t="n"/>
    </row>
    <row r="10" ht="18" customHeight="1" s="105">
      <c r="B10" s="101" t="inlineStr">
        <is>
          <t xml:space="preserve">   Set a Callback Date and it populates the Follow-Up Engine automatically.</t>
        </is>
      </c>
      <c r="D10" s="97" t="n"/>
      <c r="E10" s="97" t="n"/>
      <c r="F10" s="97" t="n"/>
      <c r="G10" s="97" t="n"/>
      <c r="H10" s="97" t="n"/>
      <c r="I10" s="97" t="n"/>
      <c r="J10" s="97" t="n"/>
      <c r="K10" s="97" t="n"/>
      <c r="L10" s="97" t="n"/>
      <c r="M10" s="97" t="n"/>
      <c r="N10" s="97" t="n"/>
      <c r="O10" s="97" t="n"/>
      <c r="P10" s="97" t="n"/>
    </row>
    <row r="11" ht="13.5" customHeight="1" s="105">
      <c r="B11" s="98" t="n"/>
      <c r="D11" s="97" t="n"/>
      <c r="E11" s="97" t="n"/>
      <c r="F11" s="97" t="n"/>
      <c r="G11" s="97" t="n"/>
      <c r="H11" s="97" t="n"/>
      <c r="I11" s="97" t="n"/>
      <c r="J11" s="97" t="n"/>
      <c r="K11" s="97" t="n"/>
      <c r="L11" s="97" t="n"/>
      <c r="M11" s="97" t="n"/>
      <c r="N11" s="97" t="n"/>
      <c r="O11" s="97" t="n"/>
      <c r="P11" s="97" t="n"/>
    </row>
    <row r="12" ht="19.5" customHeight="1" s="105">
      <c r="B12" s="100" t="inlineStr">
        <is>
          <t>🔥  SHEET 2: HOT LEADS</t>
        </is>
      </c>
      <c r="D12" s="97" t="n"/>
      <c r="E12" s="97" t="n"/>
      <c r="F12" s="97" t="n"/>
      <c r="G12" s="97" t="n"/>
      <c r="H12" s="97" t="n"/>
      <c r="I12" s="97" t="n"/>
      <c r="J12" s="97" t="n"/>
      <c r="K12" s="97" t="n"/>
      <c r="L12" s="97" t="n"/>
      <c r="M12" s="97" t="n"/>
      <c r="N12" s="97" t="n"/>
      <c r="O12" s="97" t="n"/>
      <c r="P12" s="97" t="n"/>
    </row>
    <row r="13" ht="18" customHeight="1" s="105">
      <c r="B13" s="101" t="inlineStr">
        <is>
          <t xml:space="preserve">   Auto-sorted by Fit Score. Top 50 leads always at the top.</t>
        </is>
      </c>
      <c r="D13" s="97" t="n"/>
      <c r="E13" s="97" t="n"/>
      <c r="F13" s="97" t="n"/>
      <c r="G13" s="97" t="n"/>
      <c r="H13" s="97" t="n"/>
      <c r="I13" s="97" t="n"/>
      <c r="J13" s="97" t="n"/>
      <c r="K13" s="97" t="n"/>
      <c r="L13" s="97" t="n"/>
      <c r="M13" s="97" t="n"/>
      <c r="N13" s="97" t="n"/>
      <c r="O13" s="97" t="n"/>
      <c r="P13" s="97" t="n"/>
    </row>
    <row r="14" ht="18" customHeight="1" s="105">
      <c r="B14" s="101" t="inlineStr">
        <is>
          <t xml:space="preserve">   Work this list when prospecting. The system tells you who's worth your time.</t>
        </is>
      </c>
      <c r="D14" s="97" t="n"/>
      <c r="E14" s="97" t="n"/>
      <c r="F14" s="97" t="n"/>
      <c r="G14" s="97" t="n"/>
      <c r="H14" s="97" t="n"/>
      <c r="I14" s="97" t="n"/>
      <c r="J14" s="97" t="n"/>
      <c r="K14" s="97" t="n"/>
      <c r="L14" s="97" t="n"/>
      <c r="M14" s="97" t="n"/>
      <c r="N14" s="97" t="n"/>
      <c r="O14" s="97" t="n"/>
      <c r="P14" s="97" t="n"/>
    </row>
    <row r="15" ht="13.5" customHeight="1" s="105">
      <c r="B15" s="98" t="n"/>
      <c r="D15" s="97" t="n"/>
      <c r="E15" s="97" t="n"/>
      <c r="F15" s="97" t="n"/>
      <c r="G15" s="97" t="n"/>
      <c r="H15" s="97" t="n"/>
      <c r="I15" s="97" t="n"/>
      <c r="J15" s="97" t="n"/>
      <c r="K15" s="97" t="n"/>
      <c r="L15" s="97" t="n"/>
      <c r="M15" s="97" t="n"/>
      <c r="N15" s="97" t="n"/>
      <c r="O15" s="97" t="n"/>
      <c r="P15" s="97" t="n"/>
    </row>
    <row r="16" ht="19.5" customHeight="1" s="105">
      <c r="B16" s="100" t="inlineStr">
        <is>
          <t>📅  SHEET 3: FOLLOW-UP ENGINE</t>
        </is>
      </c>
      <c r="D16" s="97" t="n"/>
      <c r="E16" s="97" t="n"/>
      <c r="F16" s="97" t="n"/>
      <c r="G16" s="97" t="n"/>
      <c r="H16" s="97" t="n"/>
      <c r="I16" s="97" t="n"/>
      <c r="J16" s="97" t="n"/>
      <c r="K16" s="97" t="n"/>
      <c r="L16" s="97" t="n"/>
      <c r="M16" s="97" t="n"/>
      <c r="N16" s="97" t="n"/>
      <c r="O16" s="97" t="n"/>
      <c r="P16" s="97" t="n"/>
    </row>
    <row r="17" ht="18" customHeight="1" s="105">
      <c r="B17" s="101" t="inlineStr">
        <is>
          <t xml:space="preserve">   Every lead with a Callback Date appears here, sorted by urgency.</t>
        </is>
      </c>
      <c r="D17" s="97" t="n"/>
      <c r="E17" s="97" t="n"/>
      <c r="F17" s="97" t="n"/>
      <c r="G17" s="97" t="n"/>
      <c r="H17" s="97" t="n"/>
      <c r="I17" s="97" t="n"/>
      <c r="J17" s="97" t="n"/>
      <c r="K17" s="97" t="n"/>
      <c r="L17" s="97" t="n"/>
      <c r="M17" s="97" t="n"/>
      <c r="N17" s="97" t="n"/>
      <c r="O17" s="97" t="n"/>
      <c r="P17" s="97" t="n"/>
    </row>
    <row r="18" ht="18" customHeight="1" s="105">
      <c r="B18" s="101" t="inlineStr">
        <is>
          <t xml:space="preserve">   🚨 OVERDUE = past due. Call these first.</t>
        </is>
      </c>
      <c r="D18" s="97" t="n"/>
      <c r="E18" s="97" t="n"/>
      <c r="F18" s="97" t="n"/>
      <c r="G18" s="97" t="n"/>
      <c r="H18" s="97" t="n"/>
      <c r="I18" s="97" t="n"/>
      <c r="J18" s="97" t="n"/>
      <c r="K18" s="97" t="n"/>
      <c r="L18" s="97" t="n"/>
      <c r="M18" s="97" t="n"/>
      <c r="N18" s="97" t="n"/>
      <c r="O18" s="97" t="n"/>
      <c r="P18" s="97" t="n"/>
    </row>
    <row r="19" ht="18" customHeight="1" s="105">
      <c r="B19" s="101" t="inlineStr">
        <is>
          <t xml:space="preserve">   🔔 DUE NOW = today or tomorrow. Call these next.</t>
        </is>
      </c>
      <c r="D19" s="97" t="n"/>
      <c r="E19" s="97" t="n"/>
      <c r="F19" s="97" t="n"/>
      <c r="G19" s="97" t="n"/>
      <c r="H19" s="97" t="n"/>
      <c r="I19" s="97" t="n"/>
      <c r="J19" s="97" t="n"/>
      <c r="K19" s="97" t="n"/>
      <c r="L19" s="97" t="n"/>
      <c r="M19" s="97" t="n"/>
      <c r="N19" s="97" t="n"/>
      <c r="O19" s="97" t="n"/>
      <c r="P19" s="97" t="n"/>
    </row>
    <row r="20" ht="18" customHeight="1" s="105">
      <c r="B20" s="101" t="inlineStr">
        <is>
          <t xml:space="preserve">   📋 UPCOMING = coming soon. Prepare.</t>
        </is>
      </c>
      <c r="D20" s="97" t="n"/>
      <c r="E20" s="97" t="n"/>
      <c r="F20" s="97" t="n"/>
      <c r="G20" s="97" t="n"/>
      <c r="H20" s="97" t="n"/>
      <c r="I20" s="97" t="n"/>
      <c r="J20" s="97" t="n"/>
      <c r="K20" s="97" t="n"/>
      <c r="L20" s="97" t="n"/>
      <c r="M20" s="97" t="n"/>
      <c r="N20" s="97" t="n"/>
      <c r="O20" s="97" t="n"/>
      <c r="P20" s="97" t="n"/>
    </row>
    <row r="21" ht="13.5" customHeight="1" s="105">
      <c r="B21" s="98" t="n"/>
      <c r="D21" s="97" t="n"/>
      <c r="E21" s="97" t="n"/>
      <c r="F21" s="97" t="n"/>
      <c r="G21" s="97" t="n"/>
      <c r="H21" s="97" t="n"/>
      <c r="I21" s="97" t="n"/>
      <c r="J21" s="97" t="n"/>
      <c r="K21" s="97" t="n"/>
      <c r="L21" s="97" t="n"/>
      <c r="M21" s="97" t="n"/>
      <c r="N21" s="97" t="n"/>
      <c r="O21" s="97" t="n"/>
      <c r="P21" s="97" t="n"/>
    </row>
    <row r="22" ht="19.5" customHeight="1" s="105">
      <c r="B22" s="100" t="inlineStr">
        <is>
          <t>📊  SHEET 4: PIPELINE DASHBOARD</t>
        </is>
      </c>
      <c r="D22" s="97" t="n"/>
      <c r="E22" s="97" t="n"/>
      <c r="F22" s="97" t="n"/>
      <c r="G22" s="97" t="n"/>
      <c r="H22" s="97" t="n"/>
      <c r="I22" s="97" t="n"/>
      <c r="J22" s="97" t="n"/>
      <c r="K22" s="97" t="n"/>
      <c r="L22" s="97" t="n"/>
      <c r="M22" s="97" t="n"/>
      <c r="N22" s="97" t="n"/>
      <c r="O22" s="97" t="n"/>
      <c r="P22" s="97" t="n"/>
    </row>
    <row r="23" ht="18" customHeight="1" s="105">
      <c r="B23" s="101" t="inlineStr">
        <is>
          <t xml:space="preserve">   Live dashboard. Auto-updates every time you enter data.</t>
        </is>
      </c>
      <c r="D23" s="97" t="n"/>
      <c r="E23" s="97" t="n"/>
      <c r="F23" s="97" t="n"/>
      <c r="G23" s="97" t="n"/>
      <c r="H23" s="97" t="n"/>
      <c r="I23" s="97" t="n"/>
      <c r="J23" s="97" t="n"/>
      <c r="K23" s="97" t="n"/>
      <c r="L23" s="97" t="n"/>
      <c r="M23" s="97" t="n"/>
      <c r="N23" s="97" t="n"/>
      <c r="O23" s="97" t="n"/>
      <c r="P23" s="97" t="n"/>
    </row>
    <row r="24" ht="18" customHeight="1" s="105">
      <c r="B24" s="101" t="inlineStr">
        <is>
          <t xml:space="preserve">   Shows: calls made, answer rate, DM rate, meeting rate, funnel breakdown, conversion rates.</t>
        </is>
      </c>
      <c r="E24" s="97" t="n"/>
      <c r="F24" s="97" t="n"/>
      <c r="G24" s="97" t="n"/>
      <c r="H24" s="97" t="n"/>
      <c r="I24" s="97" t="n"/>
      <c r="J24" s="97" t="n"/>
      <c r="K24" s="97" t="n"/>
      <c r="L24" s="97" t="n"/>
      <c r="M24" s="97" t="n"/>
      <c r="N24" s="97" t="n"/>
      <c r="O24" s="97" t="n"/>
      <c r="P24" s="97" t="n"/>
    </row>
    <row r="25" ht="18" customHeight="1" s="105">
      <c r="B25" s="101" t="inlineStr">
        <is>
          <t xml:space="preserve">   Caller Leaderboard tracks who booked the most meetings.</t>
        </is>
      </c>
      <c r="D25" s="97" t="n"/>
      <c r="E25" s="97" t="n"/>
      <c r="F25" s="97" t="n"/>
      <c r="G25" s="97" t="n"/>
      <c r="H25" s="97" t="n"/>
      <c r="I25" s="97" t="n"/>
      <c r="J25" s="97" t="n"/>
      <c r="K25" s="97" t="n"/>
      <c r="L25" s="97" t="n"/>
      <c r="M25" s="97" t="n"/>
      <c r="N25" s="97" t="n"/>
      <c r="O25" s="97" t="n"/>
      <c r="P25" s="97" t="n"/>
    </row>
    <row r="26" ht="13.5" customHeight="1" s="105">
      <c r="B26" s="98" t="n"/>
      <c r="D26" s="97" t="n"/>
      <c r="E26" s="97" t="n"/>
      <c r="F26" s="97" t="n"/>
      <c r="G26" s="97" t="n"/>
      <c r="H26" s="97" t="n"/>
      <c r="I26" s="97" t="n"/>
      <c r="J26" s="97" t="n"/>
      <c r="K26" s="97" t="n"/>
      <c r="L26" s="97" t="n"/>
      <c r="M26" s="97" t="n"/>
      <c r="N26" s="97" t="n"/>
      <c r="O26" s="97" t="n"/>
      <c r="P26" s="97" t="n"/>
    </row>
    <row r="27" ht="19.5" customHeight="1" s="105">
      <c r="B27" s="100" t="inlineStr">
        <is>
          <t>📋  SHEET 5: BOOKED MEETINGS</t>
        </is>
      </c>
      <c r="D27" s="97" t="n"/>
      <c r="E27" s="97" t="n"/>
      <c r="F27" s="97" t="n"/>
      <c r="G27" s="97" t="n"/>
      <c r="H27" s="97" t="n"/>
      <c r="I27" s="97" t="n"/>
      <c r="J27" s="97" t="n"/>
      <c r="K27" s="97" t="n"/>
      <c r="L27" s="97" t="n"/>
      <c r="M27" s="97" t="n"/>
      <c r="N27" s="97" t="n"/>
      <c r="O27" s="97" t="n"/>
      <c r="P27" s="97" t="n"/>
    </row>
    <row r="28" ht="18" customHeight="1" s="105">
      <c r="B28" s="101" t="inlineStr">
        <is>
          <t xml:space="preserve">   Every lead marked Booked Meeting auto-appears here.</t>
        </is>
      </c>
      <c r="D28" s="97" t="n"/>
      <c r="E28" s="97" t="n"/>
      <c r="F28" s="97" t="n"/>
      <c r="G28" s="97" t="n"/>
      <c r="H28" s="97" t="n"/>
      <c r="I28" s="97" t="n"/>
      <c r="J28" s="97" t="n"/>
      <c r="K28" s="97" t="n"/>
      <c r="L28" s="97" t="n"/>
      <c r="M28" s="97" t="n"/>
      <c r="N28" s="97" t="n"/>
      <c r="O28" s="97" t="n"/>
      <c r="P28" s="97" t="n"/>
    </row>
    <row r="29" ht="18" customHeight="1" s="105">
      <c r="B29" s="101" t="inlineStr">
        <is>
          <t xml:space="preserve">   Pre-call prep view: pain point, fit score, meeting type all in one place.</t>
        </is>
      </c>
      <c r="D29" s="97" t="n"/>
      <c r="E29" s="97" t="n"/>
      <c r="F29" s="97" t="n"/>
      <c r="G29" s="97" t="n"/>
      <c r="H29" s="97" t="n"/>
      <c r="I29" s="97" t="n"/>
      <c r="J29" s="97" t="n"/>
      <c r="K29" s="97" t="n"/>
      <c r="L29" s="97" t="n"/>
      <c r="M29" s="97" t="n"/>
      <c r="N29" s="97" t="n"/>
      <c r="O29" s="97" t="n"/>
      <c r="P29" s="97" t="n"/>
    </row>
    <row r="30" ht="13.5" customHeight="1" s="105">
      <c r="B30" s="98" t="n"/>
      <c r="D30" s="97" t="n"/>
      <c r="E30" s="97" t="n"/>
      <c r="F30" s="97" t="n"/>
      <c r="G30" s="97" t="n"/>
      <c r="H30" s="97" t="n"/>
      <c r="I30" s="97" t="n"/>
      <c r="J30" s="97" t="n"/>
      <c r="K30" s="97" t="n"/>
      <c r="L30" s="97" t="n"/>
      <c r="M30" s="97" t="n"/>
      <c r="N30" s="97" t="n"/>
      <c r="O30" s="97" t="n"/>
      <c r="P30" s="97" t="n"/>
    </row>
    <row r="31" ht="19.5" customHeight="1" s="105">
      <c r="B31" s="103" t="inlineStr">
        <is>
          <t>⚡  FIT SCORE BREAKDOWN</t>
        </is>
      </c>
      <c r="D31" s="97" t="n"/>
      <c r="E31" s="97" t="n"/>
      <c r="F31" s="97" t="n"/>
      <c r="G31" s="97" t="n"/>
      <c r="H31" s="97" t="n"/>
      <c r="I31" s="97" t="n"/>
      <c r="J31" s="97" t="n"/>
      <c r="K31" s="97" t="n"/>
      <c r="L31" s="97" t="n"/>
      <c r="M31" s="97" t="n"/>
      <c r="N31" s="97" t="n"/>
      <c r="O31" s="97" t="n"/>
      <c r="P31" s="97" t="n"/>
    </row>
    <row r="32" ht="18" customHeight="1" s="105">
      <c r="B32" s="101" t="inlineStr">
        <is>
          <t xml:space="preserve">   Truck Count:    2-4 trucks = 10 pts | 5-9 = 20 pts | 10+ = 30 pts</t>
        </is>
      </c>
      <c r="D32" s="97" t="n"/>
      <c r="E32" s="97" t="n"/>
      <c r="F32" s="97" t="n"/>
      <c r="G32" s="97" t="n"/>
      <c r="H32" s="97" t="n"/>
      <c r="I32" s="97" t="n"/>
      <c r="J32" s="97" t="n"/>
      <c r="K32" s="97" t="n"/>
      <c r="L32" s="97" t="n"/>
      <c r="M32" s="97" t="n"/>
      <c r="N32" s="97" t="n"/>
      <c r="O32" s="97" t="n"/>
      <c r="P32" s="97" t="n"/>
    </row>
    <row r="33" ht="18" customHeight="1" s="105">
      <c r="B33" s="101" t="inlineStr">
        <is>
          <t xml:space="preserve">   DM Reached:     Yes = 20 pts | Unsure = 10 pts</t>
        </is>
      </c>
      <c r="D33" s="97" t="n"/>
      <c r="E33" s="97" t="n"/>
      <c r="F33" s="97" t="n"/>
      <c r="G33" s="97" t="n"/>
      <c r="H33" s="97" t="n"/>
      <c r="I33" s="97" t="n"/>
      <c r="J33" s="97" t="n"/>
      <c r="K33" s="97" t="n"/>
      <c r="L33" s="97" t="n"/>
      <c r="M33" s="97" t="n"/>
      <c r="N33" s="97" t="n"/>
      <c r="O33" s="97" t="n"/>
      <c r="P33" s="97" t="n"/>
    </row>
    <row r="34" ht="18" customHeight="1" s="105">
      <c r="B34" s="101" t="inlineStr">
        <is>
          <t xml:space="preserve">   Open to Meet:   Yes = 30 pts | Later = 15 pts</t>
        </is>
      </c>
      <c r="D34" s="97" t="n"/>
      <c r="E34" s="97" t="n"/>
      <c r="F34" s="97" t="n"/>
      <c r="G34" s="97" t="n"/>
      <c r="H34" s="97" t="n"/>
      <c r="I34" s="97" t="n"/>
      <c r="J34" s="97" t="n"/>
      <c r="K34" s="97" t="n"/>
      <c r="L34" s="97" t="n"/>
      <c r="M34" s="97" t="n"/>
      <c r="N34" s="97" t="n"/>
      <c r="O34" s="97" t="n"/>
      <c r="P34" s="97" t="n"/>
    </row>
    <row r="35" ht="18" customHeight="1" s="105">
      <c r="B35" s="101" t="inlineStr">
        <is>
          <t xml:space="preserve">   Pain Score:     Contributes up to 20 pts based on severity</t>
        </is>
      </c>
      <c r="D35" s="97" t="n"/>
      <c r="E35" s="97" t="n"/>
      <c r="F35" s="97" t="n"/>
      <c r="G35" s="97" t="n"/>
      <c r="H35" s="97" t="n"/>
      <c r="I35" s="97" t="n"/>
      <c r="J35" s="97" t="n"/>
      <c r="K35" s="97" t="n"/>
      <c r="L35" s="97" t="n"/>
      <c r="M35" s="97" t="n"/>
      <c r="N35" s="97" t="n"/>
      <c r="O35" s="97" t="n"/>
      <c r="P35" s="97" t="n"/>
    </row>
    <row r="36" ht="18" customHeight="1" s="105">
      <c r="B36" s="101" t="inlineStr">
        <is>
          <t xml:space="preserve">   ─────────────────────────────────────────────</t>
        </is>
      </c>
      <c r="D36" s="97" t="n"/>
      <c r="E36" s="97" t="n"/>
      <c r="F36" s="97" t="n"/>
      <c r="G36" s="97" t="n"/>
      <c r="H36" s="97" t="n"/>
      <c r="I36" s="97" t="n"/>
      <c r="J36" s="97" t="n"/>
      <c r="K36" s="97" t="n"/>
      <c r="L36" s="97" t="n"/>
      <c r="M36" s="97" t="n"/>
      <c r="N36" s="97" t="n"/>
      <c r="O36" s="97" t="n"/>
      <c r="P36" s="97" t="n"/>
    </row>
    <row r="37" ht="18" customHeight="1" s="105">
      <c r="B37" s="104" t="inlineStr">
        <is>
          <t xml:space="preserve">   🔥 HOT = 80+  |  ✅ STRONG = 60-79  |  ⚡ WARM = 40-59  |  📋 NURTURE = 20-39</t>
        </is>
      </c>
      <c r="D37" s="97" t="n"/>
      <c r="E37" s="97" t="n"/>
      <c r="F37" s="97" t="n"/>
      <c r="G37" s="97" t="n"/>
      <c r="H37" s="97" t="n"/>
      <c r="I37" s="97" t="n"/>
      <c r="J37" s="97" t="n"/>
      <c r="K37" s="97" t="n"/>
      <c r="L37" s="97" t="n"/>
      <c r="M37" s="97" t="n"/>
      <c r="N37" s="97" t="n"/>
      <c r="O37" s="97" t="n"/>
      <c r="P37" s="97" t="n"/>
    </row>
    <row r="38" ht="13.5" customHeight="1" s="105">
      <c r="B38" s="98" t="n"/>
      <c r="D38" s="97" t="n"/>
      <c r="E38" s="97" t="n"/>
      <c r="F38" s="97" t="n"/>
      <c r="G38" s="97" t="n"/>
      <c r="H38" s="97" t="n"/>
      <c r="I38" s="97" t="n"/>
      <c r="J38" s="97" t="n"/>
      <c r="K38" s="97" t="n"/>
      <c r="L38" s="97" t="n"/>
      <c r="M38" s="97" t="n"/>
      <c r="N38" s="97" t="n"/>
      <c r="O38" s="97" t="n"/>
      <c r="P38" s="97" t="n"/>
    </row>
    <row r="39" ht="19.5" customHeight="1" s="105">
      <c r="B39" s="103" t="inlineStr">
        <is>
          <t>💡  PRO TIPS FROM KRISTOPHER</t>
        </is>
      </c>
      <c r="D39" s="97" t="n"/>
      <c r="E39" s="97" t="n"/>
      <c r="F39" s="97" t="n"/>
      <c r="G39" s="97" t="n"/>
      <c r="H39" s="97" t="n"/>
      <c r="I39" s="97" t="n"/>
      <c r="J39" s="97" t="n"/>
      <c r="K39" s="97" t="n"/>
      <c r="L39" s="97" t="n"/>
      <c r="M39" s="97" t="n"/>
      <c r="N39" s="97" t="n"/>
      <c r="O39" s="97" t="n"/>
      <c r="P39" s="97" t="n"/>
    </row>
    <row r="40" ht="18" customHeight="1" s="105">
      <c r="B40" s="101" t="inlineStr">
        <is>
          <t xml:space="preserve">   1. Enter company intel BEFORE the call. Look them up. Show up prepared.</t>
        </is>
      </c>
      <c r="D40" s="97" t="n"/>
      <c r="E40" s="97" t="n"/>
      <c r="F40" s="97" t="n"/>
      <c r="G40" s="97" t="n"/>
      <c r="H40" s="97" t="n"/>
      <c r="I40" s="97" t="n"/>
      <c r="J40" s="97" t="n"/>
      <c r="K40" s="97" t="n"/>
      <c r="L40" s="97" t="n"/>
      <c r="M40" s="97" t="n"/>
      <c r="N40" s="97" t="n"/>
      <c r="O40" s="97" t="n"/>
      <c r="P40" s="97" t="n"/>
    </row>
    <row r="41" ht="18" customHeight="1" s="105">
      <c r="B41" s="101" t="inlineStr">
        <is>
          <t xml:space="preserve">   2. During the call, focus on PAIN. Every pain field you fill in raises the score.</t>
        </is>
      </c>
      <c r="D41" s="97" t="n"/>
      <c r="E41" s="97" t="n"/>
      <c r="F41" s="97" t="n"/>
      <c r="G41" s="97" t="n"/>
      <c r="H41" s="97" t="n"/>
      <c r="I41" s="97" t="n"/>
      <c r="J41" s="97" t="n"/>
      <c r="K41" s="97" t="n"/>
      <c r="L41" s="97" t="n"/>
      <c r="M41" s="97" t="n"/>
      <c r="N41" s="97" t="n"/>
      <c r="O41" s="97" t="n"/>
      <c r="P41" s="97" t="n"/>
    </row>
    <row r="42" ht="18" customHeight="1" s="105">
      <c r="B42" s="101" t="inlineStr">
        <is>
          <t xml:space="preserve">   3. Always set a Callback Date — even for not interested. They change their mind.</t>
        </is>
      </c>
      <c r="D42" s="97" t="n"/>
      <c r="E42" s="97" t="n"/>
      <c r="F42" s="97" t="n"/>
      <c r="G42" s="97" t="n"/>
      <c r="H42" s="97" t="n"/>
      <c r="I42" s="97" t="n"/>
      <c r="J42" s="97" t="n"/>
      <c r="K42" s="97" t="n"/>
      <c r="L42" s="97" t="n"/>
      <c r="M42" s="97" t="n"/>
      <c r="N42" s="97" t="n"/>
      <c r="O42" s="97" t="n"/>
      <c r="P42" s="97" t="n"/>
    </row>
    <row r="43" ht="18" customHeight="1" s="105">
      <c r="B43" s="101" t="inlineStr">
        <is>
          <t xml:space="preserve">   4. Work the Follow-Up Engine every morning. Overdue = money left on the table.</t>
        </is>
      </c>
      <c r="D43" s="97" t="n"/>
      <c r="E43" s="97" t="n"/>
      <c r="F43" s="97" t="n"/>
      <c r="G43" s="97" t="n"/>
      <c r="H43" s="97" t="n"/>
      <c r="I43" s="97" t="n"/>
      <c r="J43" s="97" t="n"/>
      <c r="K43" s="97" t="n"/>
      <c r="L43" s="97" t="n"/>
      <c r="M43" s="97" t="n"/>
      <c r="N43" s="97" t="n"/>
      <c r="O43" s="97" t="n"/>
      <c r="P43" s="97" t="n"/>
    </row>
    <row r="44" ht="18" customHeight="1" s="105">
      <c r="B44" s="101" t="inlineStr">
        <is>
          <t xml:space="preserve">   5. The Hot Leads sheet doesn't lie. If the score is high, close the loop.</t>
        </is>
      </c>
      <c r="D44" s="97" t="n"/>
      <c r="E44" s="97" t="n"/>
      <c r="F44" s="97" t="n"/>
      <c r="G44" s="97" t="n"/>
      <c r="H44" s="97" t="n"/>
      <c r="I44" s="97" t="n"/>
      <c r="J44" s="97" t="n"/>
      <c r="K44" s="97" t="n"/>
      <c r="L44" s="97" t="n"/>
      <c r="M44" s="97" t="n"/>
      <c r="N44" s="97" t="n"/>
      <c r="O44" s="97" t="n"/>
      <c r="P44" s="97" t="n"/>
    </row>
    <row r="45" ht="15.75" customHeight="1" s="105">
      <c r="B45" s="97" t="n"/>
      <c r="D45" s="97" t="n"/>
      <c r="E45" s="97" t="n"/>
      <c r="F45" s="97" t="n"/>
      <c r="G45" s="97" t="n"/>
      <c r="H45" s="97" t="n"/>
      <c r="I45" s="97" t="n"/>
      <c r="J45" s="97" t="n"/>
      <c r="K45" s="97" t="n"/>
      <c r="L45" s="97" t="n"/>
      <c r="M45" s="97" t="n"/>
      <c r="N45" s="97" t="n"/>
      <c r="O45" s="97" t="n"/>
      <c r="P45" s="97" t="n"/>
    </row>
    <row r="46" ht="15.75" customHeight="1" s="105">
      <c r="B46" s="97" t="n"/>
      <c r="D46" s="97" t="n"/>
      <c r="E46" s="97" t="n"/>
      <c r="F46" s="97" t="n"/>
      <c r="G46" s="97" t="n"/>
      <c r="H46" s="97" t="n"/>
      <c r="I46" s="97" t="n"/>
      <c r="J46" s="97" t="n"/>
      <c r="K46" s="97" t="n"/>
      <c r="L46" s="97" t="n"/>
      <c r="M46" s="97" t="n"/>
      <c r="N46" s="97" t="n"/>
      <c r="O46" s="97" t="n"/>
      <c r="P46" s="97" t="n"/>
    </row>
    <row r="47" ht="15.75" customHeight="1" s="105">
      <c r="B47" s="97" t="n"/>
      <c r="D47" s="97" t="n"/>
      <c r="E47" s="97" t="n"/>
      <c r="F47" s="97" t="n"/>
      <c r="G47" s="97" t="n"/>
      <c r="H47" s="97" t="n"/>
      <c r="I47" s="97" t="n"/>
      <c r="J47" s="97" t="n"/>
      <c r="K47" s="97" t="n"/>
      <c r="L47" s="97" t="n"/>
      <c r="M47" s="97" t="n"/>
      <c r="N47" s="97" t="n"/>
      <c r="O47" s="97" t="n"/>
      <c r="P47" s="97" t="n"/>
    </row>
    <row r="48" ht="15.75" customHeight="1" s="105">
      <c r="B48" s="97" t="n"/>
      <c r="D48" s="97" t="n"/>
      <c r="E48" s="97" t="n"/>
      <c r="F48" s="97" t="n"/>
      <c r="G48" s="97" t="n"/>
      <c r="H48" s="97" t="n"/>
      <c r="I48" s="97" t="n"/>
      <c r="J48" s="97" t="n"/>
      <c r="K48" s="97" t="n"/>
      <c r="L48" s="97" t="n"/>
      <c r="M48" s="97" t="n"/>
      <c r="N48" s="97" t="n"/>
      <c r="O48" s="97" t="n"/>
      <c r="P48" s="97" t="n"/>
    </row>
    <row r="49" ht="15.75" customHeight="1" s="105">
      <c r="B49" s="97" t="n"/>
      <c r="D49" s="97" t="n"/>
      <c r="E49" s="97" t="n"/>
      <c r="F49" s="97" t="n"/>
      <c r="G49" s="97" t="n"/>
      <c r="H49" s="97" t="n"/>
      <c r="I49" s="97" t="n"/>
      <c r="J49" s="97" t="n"/>
      <c r="K49" s="97" t="n"/>
      <c r="L49" s="97" t="n"/>
      <c r="M49" s="97" t="n"/>
      <c r="N49" s="97" t="n"/>
      <c r="O49" s="97" t="n"/>
      <c r="P49" s="97" t="n"/>
    </row>
    <row r="50" ht="15.75" customHeight="1" s="105">
      <c r="B50" s="97" t="n"/>
      <c r="D50" s="97" t="n"/>
      <c r="E50" s="97" t="n"/>
      <c r="F50" s="97" t="n"/>
      <c r="G50" s="97" t="n"/>
      <c r="H50" s="97" t="n"/>
      <c r="I50" s="97" t="n"/>
      <c r="J50" s="97" t="n"/>
      <c r="K50" s="97" t="n"/>
      <c r="L50" s="97" t="n"/>
      <c r="M50" s="97" t="n"/>
      <c r="N50" s="97" t="n"/>
      <c r="O50" s="97" t="n"/>
      <c r="P50" s="97" t="n"/>
    </row>
    <row r="51" ht="15.75" customHeight="1" s="105">
      <c r="B51" s="97" t="n"/>
      <c r="D51" s="97" t="n"/>
      <c r="E51" s="97" t="n"/>
      <c r="F51" s="97" t="n"/>
      <c r="G51" s="97" t="n"/>
      <c r="H51" s="97" t="n"/>
      <c r="I51" s="97" t="n"/>
      <c r="J51" s="97" t="n"/>
      <c r="K51" s="97" t="n"/>
      <c r="L51" s="97" t="n"/>
      <c r="M51" s="97" t="n"/>
      <c r="N51" s="97" t="n"/>
      <c r="O51" s="97" t="n"/>
      <c r="P51" s="97" t="n"/>
    </row>
    <row r="52" ht="15.75" customHeight="1" s="105">
      <c r="B52" s="97" t="n"/>
      <c r="D52" s="97" t="n"/>
      <c r="E52" s="97" t="n"/>
      <c r="F52" s="97" t="n"/>
      <c r="G52" s="97" t="n"/>
      <c r="H52" s="97" t="n"/>
      <c r="I52" s="97" t="n"/>
      <c r="J52" s="97" t="n"/>
      <c r="K52" s="97" t="n"/>
      <c r="L52" s="97" t="n"/>
      <c r="M52" s="97" t="n"/>
      <c r="N52" s="97" t="n"/>
      <c r="O52" s="97" t="n"/>
      <c r="P52" s="97" t="n"/>
    </row>
    <row r="53" ht="15.75" customHeight="1" s="105">
      <c r="B53" s="97" t="n"/>
      <c r="D53" s="97" t="n"/>
      <c r="E53" s="97" t="n"/>
      <c r="F53" s="97" t="n"/>
      <c r="G53" s="97" t="n"/>
      <c r="H53" s="97" t="n"/>
      <c r="I53" s="97" t="n"/>
      <c r="J53" s="97" t="n"/>
      <c r="K53" s="97" t="n"/>
      <c r="L53" s="97" t="n"/>
      <c r="M53" s="97" t="n"/>
      <c r="N53" s="97" t="n"/>
      <c r="O53" s="97" t="n"/>
      <c r="P53" s="97" t="n"/>
    </row>
    <row r="54" ht="15.75" customHeight="1" s="105">
      <c r="B54" s="97" t="n"/>
      <c r="D54" s="97" t="n"/>
      <c r="E54" s="97" t="n"/>
      <c r="F54" s="97" t="n"/>
      <c r="G54" s="97" t="n"/>
      <c r="H54" s="97" t="n"/>
      <c r="I54" s="97" t="n"/>
      <c r="J54" s="97" t="n"/>
      <c r="K54" s="97" t="n"/>
      <c r="L54" s="97" t="n"/>
      <c r="M54" s="97" t="n"/>
      <c r="N54" s="97" t="n"/>
      <c r="O54" s="97" t="n"/>
      <c r="P54" s="97" t="n"/>
    </row>
    <row r="55" ht="15.75" customHeight="1" s="105">
      <c r="B55" s="97" t="n"/>
      <c r="D55" s="97" t="n"/>
      <c r="E55" s="97" t="n"/>
      <c r="F55" s="97" t="n"/>
      <c r="G55" s="97" t="n"/>
      <c r="H55" s="97" t="n"/>
      <c r="I55" s="97" t="n"/>
      <c r="J55" s="97" t="n"/>
      <c r="K55" s="97" t="n"/>
      <c r="L55" s="97" t="n"/>
      <c r="M55" s="97" t="n"/>
      <c r="N55" s="97" t="n"/>
      <c r="O55" s="97" t="n"/>
      <c r="P55" s="97" t="n"/>
    </row>
    <row r="56" ht="15.75" customHeight="1" s="105">
      <c r="B56" s="97" t="n"/>
      <c r="D56" s="97" t="n"/>
      <c r="E56" s="97" t="n"/>
      <c r="F56" s="97" t="n"/>
      <c r="G56" s="97" t="n"/>
      <c r="H56" s="97" t="n"/>
      <c r="I56" s="97" t="n"/>
      <c r="J56" s="97" t="n"/>
      <c r="K56" s="97" t="n"/>
      <c r="L56" s="97" t="n"/>
      <c r="M56" s="97" t="n"/>
      <c r="N56" s="97" t="n"/>
      <c r="O56" s="97" t="n"/>
      <c r="P56" s="97" t="n"/>
    </row>
    <row r="57" ht="15.75" customHeight="1" s="105">
      <c r="B57" s="97" t="n"/>
      <c r="D57" s="97" t="n"/>
      <c r="E57" s="97" t="n"/>
      <c r="F57" s="97" t="n"/>
      <c r="G57" s="97" t="n"/>
      <c r="H57" s="97" t="n"/>
      <c r="I57" s="97" t="n"/>
      <c r="J57" s="97" t="n"/>
      <c r="K57" s="97" t="n"/>
      <c r="L57" s="97" t="n"/>
      <c r="M57" s="97" t="n"/>
      <c r="N57" s="97" t="n"/>
      <c r="O57" s="97" t="n"/>
      <c r="P57" s="97" t="n"/>
    </row>
    <row r="58" ht="15.75" customHeight="1" s="105">
      <c r="B58" s="97" t="n"/>
      <c r="D58" s="97" t="n"/>
      <c r="E58" s="97" t="n"/>
      <c r="F58" s="97" t="n"/>
      <c r="G58" s="97" t="n"/>
      <c r="H58" s="97" t="n"/>
      <c r="I58" s="97" t="n"/>
      <c r="J58" s="97" t="n"/>
      <c r="K58" s="97" t="n"/>
      <c r="L58" s="97" t="n"/>
      <c r="M58" s="97" t="n"/>
      <c r="N58" s="97" t="n"/>
      <c r="O58" s="97" t="n"/>
      <c r="P58" s="97" t="n"/>
    </row>
    <row r="59" ht="15.75" customHeight="1" s="105">
      <c r="B59" s="97" t="n"/>
      <c r="D59" s="97" t="n"/>
      <c r="E59" s="97" t="n"/>
      <c r="F59" s="97" t="n"/>
      <c r="G59" s="97" t="n"/>
      <c r="H59" s="97" t="n"/>
      <c r="I59" s="97" t="n"/>
      <c r="J59" s="97" t="n"/>
      <c r="K59" s="97" t="n"/>
      <c r="L59" s="97" t="n"/>
      <c r="M59" s="97" t="n"/>
      <c r="N59" s="97" t="n"/>
      <c r="O59" s="97" t="n"/>
      <c r="P59" s="97" t="n"/>
    </row>
    <row r="60" ht="15.75" customHeight="1" s="105">
      <c r="B60" s="97" t="n"/>
      <c r="D60" s="97" t="n"/>
      <c r="E60" s="97" t="n"/>
      <c r="F60" s="97" t="n"/>
      <c r="G60" s="97" t="n"/>
      <c r="H60" s="97" t="n"/>
      <c r="I60" s="97" t="n"/>
      <c r="J60" s="97" t="n"/>
      <c r="K60" s="97" t="n"/>
      <c r="L60" s="97" t="n"/>
      <c r="M60" s="97" t="n"/>
      <c r="N60" s="97" t="n"/>
      <c r="O60" s="97" t="n"/>
      <c r="P60" s="97" t="n"/>
    </row>
    <row r="61" ht="15.75" customHeight="1" s="105">
      <c r="B61" s="97" t="n"/>
      <c r="D61" s="97" t="n"/>
      <c r="E61" s="97" t="n"/>
      <c r="F61" s="97" t="n"/>
      <c r="G61" s="97" t="n"/>
      <c r="H61" s="97" t="n"/>
      <c r="I61" s="97" t="n"/>
      <c r="J61" s="97" t="n"/>
      <c r="K61" s="97" t="n"/>
      <c r="L61" s="97" t="n"/>
      <c r="M61" s="97" t="n"/>
      <c r="N61" s="97" t="n"/>
      <c r="O61" s="97" t="n"/>
      <c r="P61" s="97" t="n"/>
    </row>
    <row r="62" ht="15.75" customHeight="1" s="105">
      <c r="B62" s="97" t="n"/>
      <c r="D62" s="97" t="n"/>
      <c r="E62" s="97" t="n"/>
      <c r="F62" s="97" t="n"/>
      <c r="G62" s="97" t="n"/>
      <c r="H62" s="97" t="n"/>
      <c r="I62" s="97" t="n"/>
      <c r="J62" s="97" t="n"/>
      <c r="K62" s="97" t="n"/>
      <c r="L62" s="97" t="n"/>
      <c r="M62" s="97" t="n"/>
      <c r="N62" s="97" t="n"/>
      <c r="O62" s="97" t="n"/>
      <c r="P62" s="97" t="n"/>
    </row>
    <row r="63" ht="15.75" customHeight="1" s="105">
      <c r="B63" s="97" t="n"/>
      <c r="D63" s="97" t="n"/>
      <c r="E63" s="97" t="n"/>
      <c r="F63" s="97" t="n"/>
      <c r="G63" s="97" t="n"/>
      <c r="H63" s="97" t="n"/>
      <c r="I63" s="97" t="n"/>
      <c r="J63" s="97" t="n"/>
      <c r="K63" s="97" t="n"/>
      <c r="L63" s="97" t="n"/>
      <c r="M63" s="97" t="n"/>
      <c r="N63" s="97" t="n"/>
      <c r="O63" s="97" t="n"/>
      <c r="P63" s="97" t="n"/>
    </row>
    <row r="64" ht="15.75" customHeight="1" s="105">
      <c r="B64" s="97" t="n"/>
      <c r="D64" s="97" t="n"/>
      <c r="E64" s="97" t="n"/>
      <c r="F64" s="97" t="n"/>
      <c r="G64" s="97" t="n"/>
      <c r="H64" s="97" t="n"/>
      <c r="I64" s="97" t="n"/>
      <c r="J64" s="97" t="n"/>
      <c r="K64" s="97" t="n"/>
      <c r="L64" s="97" t="n"/>
      <c r="M64" s="97" t="n"/>
      <c r="N64" s="97" t="n"/>
      <c r="O64" s="97" t="n"/>
      <c r="P64" s="97" t="n"/>
    </row>
    <row r="65" ht="15.75" customHeight="1" s="105">
      <c r="B65" s="97" t="n"/>
      <c r="D65" s="97" t="n"/>
      <c r="E65" s="97" t="n"/>
      <c r="F65" s="97" t="n"/>
      <c r="G65" s="97" t="n"/>
      <c r="H65" s="97" t="n"/>
      <c r="I65" s="97" t="n"/>
      <c r="J65" s="97" t="n"/>
      <c r="K65" s="97" t="n"/>
      <c r="L65" s="97" t="n"/>
      <c r="M65" s="97" t="n"/>
      <c r="N65" s="97" t="n"/>
      <c r="O65" s="97" t="n"/>
      <c r="P65" s="97" t="n"/>
    </row>
    <row r="66" ht="15.75" customHeight="1" s="105">
      <c r="B66" s="97" t="n"/>
      <c r="D66" s="97" t="n"/>
      <c r="E66" s="97" t="n"/>
      <c r="F66" s="97" t="n"/>
      <c r="G66" s="97" t="n"/>
      <c r="H66" s="97" t="n"/>
      <c r="I66" s="97" t="n"/>
      <c r="J66" s="97" t="n"/>
      <c r="K66" s="97" t="n"/>
      <c r="L66" s="97" t="n"/>
      <c r="M66" s="97" t="n"/>
      <c r="N66" s="97" t="n"/>
      <c r="O66" s="97" t="n"/>
      <c r="P66" s="97" t="n"/>
    </row>
    <row r="67" ht="15.75" customHeight="1" s="105">
      <c r="B67" s="97" t="n"/>
      <c r="D67" s="97" t="n"/>
      <c r="E67" s="97" t="n"/>
      <c r="F67" s="97" t="n"/>
      <c r="G67" s="97" t="n"/>
      <c r="H67" s="97" t="n"/>
      <c r="I67" s="97" t="n"/>
      <c r="J67" s="97" t="n"/>
      <c r="K67" s="97" t="n"/>
      <c r="L67" s="97" t="n"/>
      <c r="M67" s="97" t="n"/>
      <c r="N67" s="97" t="n"/>
      <c r="O67" s="97" t="n"/>
      <c r="P67" s="97" t="n"/>
    </row>
    <row r="68" ht="15.75" customHeight="1" s="105">
      <c r="B68" s="97" t="n"/>
      <c r="D68" s="97" t="n"/>
      <c r="E68" s="97" t="n"/>
      <c r="F68" s="97" t="n"/>
      <c r="G68" s="97" t="n"/>
      <c r="H68" s="97" t="n"/>
      <c r="I68" s="97" t="n"/>
      <c r="J68" s="97" t="n"/>
      <c r="K68" s="97" t="n"/>
      <c r="L68" s="97" t="n"/>
      <c r="M68" s="97" t="n"/>
      <c r="N68" s="97" t="n"/>
      <c r="O68" s="97" t="n"/>
      <c r="P68" s="97" t="n"/>
    </row>
    <row r="69" ht="15.75" customHeight="1" s="105">
      <c r="B69" s="97" t="n"/>
      <c r="D69" s="97" t="n"/>
      <c r="E69" s="97" t="n"/>
      <c r="F69" s="97" t="n"/>
      <c r="G69" s="97" t="n"/>
      <c r="H69" s="97" t="n"/>
      <c r="I69" s="97" t="n"/>
      <c r="J69" s="97" t="n"/>
      <c r="K69" s="97" t="n"/>
      <c r="L69" s="97" t="n"/>
      <c r="M69" s="97" t="n"/>
      <c r="N69" s="97" t="n"/>
      <c r="O69" s="97" t="n"/>
      <c r="P69" s="97" t="n"/>
    </row>
    <row r="70" ht="15.75" customHeight="1" s="105">
      <c r="B70" s="97" t="n"/>
      <c r="D70" s="97" t="n"/>
      <c r="E70" s="97" t="n"/>
      <c r="F70" s="97" t="n"/>
      <c r="G70" s="97" t="n"/>
      <c r="H70" s="97" t="n"/>
      <c r="I70" s="97" t="n"/>
      <c r="J70" s="97" t="n"/>
      <c r="K70" s="97" t="n"/>
      <c r="L70" s="97" t="n"/>
      <c r="M70" s="97" t="n"/>
      <c r="N70" s="97" t="n"/>
      <c r="O70" s="97" t="n"/>
      <c r="P70" s="97" t="n"/>
    </row>
    <row r="71" ht="15.75" customHeight="1" s="105">
      <c r="B71" s="97" t="n"/>
      <c r="D71" s="97" t="n"/>
      <c r="E71" s="97" t="n"/>
      <c r="F71" s="97" t="n"/>
      <c r="G71" s="97" t="n"/>
      <c r="H71" s="97" t="n"/>
      <c r="I71" s="97" t="n"/>
      <c r="J71" s="97" t="n"/>
      <c r="K71" s="97" t="n"/>
      <c r="L71" s="97" t="n"/>
      <c r="M71" s="97" t="n"/>
      <c r="N71" s="97" t="n"/>
      <c r="O71" s="97" t="n"/>
      <c r="P71" s="97" t="n"/>
    </row>
    <row r="72" ht="15.75" customHeight="1" s="105">
      <c r="B72" s="97" t="n"/>
      <c r="D72" s="97" t="n"/>
      <c r="E72" s="97" t="n"/>
      <c r="F72" s="97" t="n"/>
      <c r="G72" s="97" t="n"/>
      <c r="H72" s="97" t="n"/>
      <c r="I72" s="97" t="n"/>
      <c r="J72" s="97" t="n"/>
      <c r="K72" s="97" t="n"/>
      <c r="L72" s="97" t="n"/>
      <c r="M72" s="97" t="n"/>
      <c r="N72" s="97" t="n"/>
      <c r="O72" s="97" t="n"/>
      <c r="P72" s="97" t="n"/>
    </row>
    <row r="73" ht="15.75" customHeight="1" s="105">
      <c r="B73" s="97" t="n"/>
      <c r="D73" s="97" t="n"/>
      <c r="E73" s="97" t="n"/>
      <c r="F73" s="97" t="n"/>
      <c r="G73" s="97" t="n"/>
      <c r="H73" s="97" t="n"/>
      <c r="I73" s="97" t="n"/>
      <c r="J73" s="97" t="n"/>
      <c r="K73" s="97" t="n"/>
      <c r="L73" s="97" t="n"/>
      <c r="M73" s="97" t="n"/>
      <c r="N73" s="97" t="n"/>
      <c r="O73" s="97" t="n"/>
      <c r="P73" s="97" t="n"/>
    </row>
    <row r="74" ht="15.75" customHeight="1" s="105">
      <c r="B74" s="97" t="n"/>
      <c r="D74" s="97" t="n"/>
      <c r="E74" s="97" t="n"/>
      <c r="F74" s="97" t="n"/>
      <c r="G74" s="97" t="n"/>
      <c r="H74" s="97" t="n"/>
      <c r="I74" s="97" t="n"/>
      <c r="J74" s="97" t="n"/>
      <c r="K74" s="97" t="n"/>
      <c r="L74" s="97" t="n"/>
      <c r="M74" s="97" t="n"/>
      <c r="N74" s="97" t="n"/>
      <c r="O74" s="97" t="n"/>
      <c r="P74" s="97" t="n"/>
    </row>
    <row r="75" ht="15.75" customHeight="1" s="105">
      <c r="B75" s="97" t="n"/>
      <c r="D75" s="97" t="n"/>
      <c r="E75" s="97" t="n"/>
      <c r="F75" s="97" t="n"/>
      <c r="G75" s="97" t="n"/>
      <c r="H75" s="97" t="n"/>
      <c r="I75" s="97" t="n"/>
      <c r="J75" s="97" t="n"/>
      <c r="K75" s="97" t="n"/>
      <c r="L75" s="97" t="n"/>
      <c r="M75" s="97" t="n"/>
      <c r="N75" s="97" t="n"/>
      <c r="O75" s="97" t="n"/>
      <c r="P75" s="97" t="n"/>
    </row>
    <row r="76" ht="15.75" customHeight="1" s="105">
      <c r="B76" s="97" t="n"/>
      <c r="D76" s="97" t="n"/>
      <c r="E76" s="97" t="n"/>
      <c r="F76" s="97" t="n"/>
      <c r="G76" s="97" t="n"/>
      <c r="H76" s="97" t="n"/>
      <c r="I76" s="97" t="n"/>
      <c r="J76" s="97" t="n"/>
      <c r="K76" s="97" t="n"/>
      <c r="L76" s="97" t="n"/>
      <c r="M76" s="97" t="n"/>
      <c r="N76" s="97" t="n"/>
      <c r="O76" s="97" t="n"/>
      <c r="P76" s="97" t="n"/>
    </row>
    <row r="77" ht="15.75" customHeight="1" s="105">
      <c r="B77" s="97" t="n"/>
      <c r="D77" s="97" t="n"/>
      <c r="E77" s="97" t="n"/>
      <c r="F77" s="97" t="n"/>
      <c r="G77" s="97" t="n"/>
      <c r="H77" s="97" t="n"/>
      <c r="I77" s="97" t="n"/>
      <c r="J77" s="97" t="n"/>
      <c r="K77" s="97" t="n"/>
      <c r="L77" s="97" t="n"/>
      <c r="M77" s="97" t="n"/>
      <c r="N77" s="97" t="n"/>
      <c r="O77" s="97" t="n"/>
      <c r="P77" s="97" t="n"/>
    </row>
    <row r="78" ht="15.75" customHeight="1" s="105">
      <c r="B78" s="97" t="n"/>
      <c r="D78" s="97" t="n"/>
      <c r="E78" s="97" t="n"/>
      <c r="F78" s="97" t="n"/>
      <c r="G78" s="97" t="n"/>
      <c r="H78" s="97" t="n"/>
      <c r="I78" s="97" t="n"/>
      <c r="J78" s="97" t="n"/>
      <c r="K78" s="97" t="n"/>
      <c r="L78" s="97" t="n"/>
      <c r="M78" s="97" t="n"/>
      <c r="N78" s="97" t="n"/>
      <c r="O78" s="97" t="n"/>
      <c r="P78" s="97" t="n"/>
    </row>
    <row r="79" ht="15.75" customHeight="1" s="105">
      <c r="B79" s="97" t="n"/>
      <c r="D79" s="97" t="n"/>
      <c r="E79" s="97" t="n"/>
      <c r="F79" s="97" t="n"/>
      <c r="G79" s="97" t="n"/>
      <c r="H79" s="97" t="n"/>
      <c r="I79" s="97" t="n"/>
      <c r="J79" s="97" t="n"/>
      <c r="K79" s="97" t="n"/>
      <c r="L79" s="97" t="n"/>
      <c r="M79" s="97" t="n"/>
      <c r="N79" s="97" t="n"/>
      <c r="O79" s="97" t="n"/>
      <c r="P79" s="97" t="n"/>
    </row>
    <row r="80" ht="15.75" customHeight="1" s="105">
      <c r="B80" s="97" t="n"/>
      <c r="D80" s="97" t="n"/>
      <c r="E80" s="97" t="n"/>
      <c r="F80" s="97" t="n"/>
      <c r="G80" s="97" t="n"/>
      <c r="H80" s="97" t="n"/>
      <c r="I80" s="97" t="n"/>
      <c r="J80" s="97" t="n"/>
      <c r="K80" s="97" t="n"/>
      <c r="L80" s="97" t="n"/>
      <c r="M80" s="97" t="n"/>
      <c r="N80" s="97" t="n"/>
      <c r="O80" s="97" t="n"/>
      <c r="P80" s="97" t="n"/>
    </row>
    <row r="81" ht="15.75" customHeight="1" s="105">
      <c r="B81" s="97" t="n"/>
      <c r="D81" s="97" t="n"/>
      <c r="E81" s="97" t="n"/>
      <c r="F81" s="97" t="n"/>
      <c r="G81" s="97" t="n"/>
      <c r="H81" s="97" t="n"/>
      <c r="I81" s="97" t="n"/>
      <c r="J81" s="97" t="n"/>
      <c r="K81" s="97" t="n"/>
      <c r="L81" s="97" t="n"/>
      <c r="M81" s="97" t="n"/>
      <c r="N81" s="97" t="n"/>
      <c r="O81" s="97" t="n"/>
      <c r="P81" s="97" t="n"/>
    </row>
    <row r="82" ht="15.75" customHeight="1" s="105">
      <c r="B82" s="97" t="n"/>
      <c r="D82" s="97" t="n"/>
      <c r="E82" s="97" t="n"/>
      <c r="F82" s="97" t="n"/>
      <c r="G82" s="97" t="n"/>
      <c r="H82" s="97" t="n"/>
      <c r="I82" s="97" t="n"/>
      <c r="J82" s="97" t="n"/>
      <c r="K82" s="97" t="n"/>
      <c r="L82" s="97" t="n"/>
      <c r="M82" s="97" t="n"/>
      <c r="N82" s="97" t="n"/>
      <c r="O82" s="97" t="n"/>
      <c r="P82" s="97" t="n"/>
    </row>
    <row r="83" ht="15.75" customHeight="1" s="105">
      <c r="B83" s="97" t="n"/>
      <c r="D83" s="97" t="n"/>
      <c r="E83" s="97" t="n"/>
      <c r="F83" s="97" t="n"/>
      <c r="G83" s="97" t="n"/>
      <c r="H83" s="97" t="n"/>
      <c r="I83" s="97" t="n"/>
      <c r="J83" s="97" t="n"/>
      <c r="K83" s="97" t="n"/>
      <c r="L83" s="97" t="n"/>
      <c r="M83" s="97" t="n"/>
      <c r="N83" s="97" t="n"/>
      <c r="O83" s="97" t="n"/>
      <c r="P83" s="97" t="n"/>
    </row>
    <row r="84" ht="15.75" customHeight="1" s="105">
      <c r="B84" s="97" t="n"/>
      <c r="D84" s="97" t="n"/>
      <c r="E84" s="97" t="n"/>
      <c r="F84" s="97" t="n"/>
      <c r="G84" s="97" t="n"/>
      <c r="H84" s="97" t="n"/>
      <c r="I84" s="97" t="n"/>
      <c r="J84" s="97" t="n"/>
      <c r="K84" s="97" t="n"/>
      <c r="L84" s="97" t="n"/>
      <c r="M84" s="97" t="n"/>
      <c r="N84" s="97" t="n"/>
      <c r="O84" s="97" t="n"/>
      <c r="P84" s="97" t="n"/>
    </row>
    <row r="85" ht="15.75" customHeight="1" s="105">
      <c r="B85" s="97" t="n"/>
      <c r="D85" s="97" t="n"/>
      <c r="E85" s="97" t="n"/>
      <c r="F85" s="97" t="n"/>
      <c r="G85" s="97" t="n"/>
      <c r="H85" s="97" t="n"/>
      <c r="I85" s="97" t="n"/>
      <c r="J85" s="97" t="n"/>
      <c r="K85" s="97" t="n"/>
      <c r="L85" s="97" t="n"/>
      <c r="M85" s="97" t="n"/>
      <c r="N85" s="97" t="n"/>
      <c r="O85" s="97" t="n"/>
      <c r="P85" s="97" t="n"/>
    </row>
    <row r="86" ht="15.75" customHeight="1" s="105">
      <c r="B86" s="97" t="n"/>
      <c r="D86" s="97" t="n"/>
      <c r="E86" s="97" t="n"/>
      <c r="F86" s="97" t="n"/>
      <c r="G86" s="97" t="n"/>
      <c r="H86" s="97" t="n"/>
      <c r="I86" s="97" t="n"/>
      <c r="J86" s="97" t="n"/>
      <c r="K86" s="97" t="n"/>
      <c r="L86" s="97" t="n"/>
      <c r="M86" s="97" t="n"/>
      <c r="N86" s="97" t="n"/>
      <c r="O86" s="97" t="n"/>
      <c r="P86" s="97" t="n"/>
    </row>
    <row r="87" ht="15.75" customHeight="1" s="105">
      <c r="B87" s="97" t="n"/>
      <c r="D87" s="97" t="n"/>
      <c r="E87" s="97" t="n"/>
      <c r="F87" s="97" t="n"/>
      <c r="G87" s="97" t="n"/>
      <c r="H87" s="97" t="n"/>
      <c r="I87" s="97" t="n"/>
      <c r="J87" s="97" t="n"/>
      <c r="K87" s="97" t="n"/>
      <c r="L87" s="97" t="n"/>
      <c r="M87" s="97" t="n"/>
      <c r="N87" s="97" t="n"/>
      <c r="O87" s="97" t="n"/>
      <c r="P87" s="97" t="n"/>
    </row>
    <row r="88" ht="15.75" customHeight="1" s="105">
      <c r="B88" s="97" t="n"/>
      <c r="D88" s="97" t="n"/>
      <c r="E88" s="97" t="n"/>
      <c r="F88" s="97" t="n"/>
      <c r="G88" s="97" t="n"/>
      <c r="H88" s="97" t="n"/>
      <c r="I88" s="97" t="n"/>
      <c r="J88" s="97" t="n"/>
      <c r="K88" s="97" t="n"/>
      <c r="L88" s="97" t="n"/>
      <c r="M88" s="97" t="n"/>
      <c r="N88" s="97" t="n"/>
      <c r="O88" s="97" t="n"/>
      <c r="P88" s="97" t="n"/>
    </row>
    <row r="89" ht="15.75" customHeight="1" s="105">
      <c r="B89" s="97" t="n"/>
      <c r="D89" s="97" t="n"/>
      <c r="E89" s="97" t="n"/>
      <c r="F89" s="97" t="n"/>
      <c r="G89" s="97" t="n"/>
      <c r="H89" s="97" t="n"/>
      <c r="I89" s="97" t="n"/>
      <c r="J89" s="97" t="n"/>
      <c r="K89" s="97" t="n"/>
      <c r="L89" s="97" t="n"/>
      <c r="M89" s="97" t="n"/>
      <c r="N89" s="97" t="n"/>
      <c r="O89" s="97" t="n"/>
      <c r="P89" s="97" t="n"/>
    </row>
    <row r="90" ht="15.75" customHeight="1" s="105">
      <c r="B90" s="97" t="n"/>
      <c r="D90" s="97" t="n"/>
      <c r="E90" s="97" t="n"/>
      <c r="F90" s="97" t="n"/>
      <c r="G90" s="97" t="n"/>
      <c r="H90" s="97" t="n"/>
      <c r="I90" s="97" t="n"/>
      <c r="J90" s="97" t="n"/>
      <c r="K90" s="97" t="n"/>
      <c r="L90" s="97" t="n"/>
      <c r="M90" s="97" t="n"/>
      <c r="N90" s="97" t="n"/>
      <c r="O90" s="97" t="n"/>
      <c r="P90" s="97" t="n"/>
    </row>
    <row r="91" ht="15.75" customHeight="1" s="105">
      <c r="B91" s="97" t="n"/>
      <c r="D91" s="97" t="n"/>
      <c r="E91" s="97" t="n"/>
      <c r="F91" s="97" t="n"/>
      <c r="G91" s="97" t="n"/>
      <c r="H91" s="97" t="n"/>
      <c r="I91" s="97" t="n"/>
      <c r="J91" s="97" t="n"/>
      <c r="K91" s="97" t="n"/>
      <c r="L91" s="97" t="n"/>
      <c r="M91" s="97" t="n"/>
      <c r="N91" s="97" t="n"/>
      <c r="O91" s="97" t="n"/>
      <c r="P91" s="97" t="n"/>
    </row>
    <row r="92" ht="15.75" customHeight="1" s="105">
      <c r="B92" s="97" t="n"/>
      <c r="D92" s="97" t="n"/>
      <c r="E92" s="97" t="n"/>
      <c r="F92" s="97" t="n"/>
      <c r="G92" s="97" t="n"/>
      <c r="H92" s="97" t="n"/>
      <c r="I92" s="97" t="n"/>
      <c r="J92" s="97" t="n"/>
      <c r="K92" s="97" t="n"/>
      <c r="L92" s="97" t="n"/>
      <c r="M92" s="97" t="n"/>
      <c r="N92" s="97" t="n"/>
      <c r="O92" s="97" t="n"/>
      <c r="P92" s="97" t="n"/>
    </row>
    <row r="93" ht="15.75" customHeight="1" s="105">
      <c r="B93" s="97" t="n"/>
      <c r="D93" s="97" t="n"/>
      <c r="E93" s="97" t="n"/>
      <c r="F93" s="97" t="n"/>
      <c r="G93" s="97" t="n"/>
      <c r="H93" s="97" t="n"/>
      <c r="I93" s="97" t="n"/>
      <c r="J93" s="97" t="n"/>
      <c r="K93" s="97" t="n"/>
      <c r="L93" s="97" t="n"/>
      <c r="M93" s="97" t="n"/>
      <c r="N93" s="97" t="n"/>
      <c r="O93" s="97" t="n"/>
      <c r="P93" s="97" t="n"/>
    </row>
    <row r="94" ht="15.75" customHeight="1" s="105">
      <c r="B94" s="97" t="n"/>
      <c r="D94" s="97" t="n"/>
      <c r="E94" s="97" t="n"/>
      <c r="F94" s="97" t="n"/>
      <c r="G94" s="97" t="n"/>
      <c r="H94" s="97" t="n"/>
      <c r="I94" s="97" t="n"/>
      <c r="J94" s="97" t="n"/>
      <c r="K94" s="97" t="n"/>
      <c r="L94" s="97" t="n"/>
      <c r="M94" s="97" t="n"/>
      <c r="N94" s="97" t="n"/>
      <c r="O94" s="97" t="n"/>
      <c r="P94" s="97" t="n"/>
    </row>
    <row r="95" ht="15.75" customHeight="1" s="105">
      <c r="B95" s="97" t="n"/>
      <c r="D95" s="97" t="n"/>
      <c r="E95" s="97" t="n"/>
      <c r="F95" s="97" t="n"/>
      <c r="G95" s="97" t="n"/>
      <c r="H95" s="97" t="n"/>
      <c r="I95" s="97" t="n"/>
      <c r="J95" s="97" t="n"/>
      <c r="K95" s="97" t="n"/>
      <c r="L95" s="97" t="n"/>
      <c r="M95" s="97" t="n"/>
      <c r="N95" s="97" t="n"/>
      <c r="O95" s="97" t="n"/>
      <c r="P95" s="97" t="n"/>
    </row>
    <row r="96" ht="15.75" customHeight="1" s="105">
      <c r="B96" s="97" t="n"/>
      <c r="D96" s="97" t="n"/>
      <c r="E96" s="97" t="n"/>
      <c r="F96" s="97" t="n"/>
      <c r="G96" s="97" t="n"/>
      <c r="H96" s="97" t="n"/>
      <c r="I96" s="97" t="n"/>
      <c r="J96" s="97" t="n"/>
      <c r="K96" s="97" t="n"/>
      <c r="L96" s="97" t="n"/>
      <c r="M96" s="97" t="n"/>
      <c r="N96" s="97" t="n"/>
      <c r="O96" s="97" t="n"/>
      <c r="P96" s="97" t="n"/>
    </row>
    <row r="97" ht="15.75" customHeight="1" s="105">
      <c r="B97" s="97" t="n"/>
      <c r="D97" s="97" t="n"/>
      <c r="E97" s="97" t="n"/>
      <c r="F97" s="97" t="n"/>
      <c r="G97" s="97" t="n"/>
      <c r="H97" s="97" t="n"/>
      <c r="I97" s="97" t="n"/>
      <c r="J97" s="97" t="n"/>
      <c r="K97" s="97" t="n"/>
      <c r="L97" s="97" t="n"/>
      <c r="M97" s="97" t="n"/>
      <c r="N97" s="97" t="n"/>
      <c r="O97" s="97" t="n"/>
      <c r="P97" s="97" t="n"/>
    </row>
    <row r="98" ht="15.75" customHeight="1" s="105">
      <c r="B98" s="97" t="n"/>
      <c r="D98" s="97" t="n"/>
      <c r="E98" s="97" t="n"/>
      <c r="F98" s="97" t="n"/>
      <c r="G98" s="97" t="n"/>
      <c r="H98" s="97" t="n"/>
      <c r="I98" s="97" t="n"/>
      <c r="J98" s="97" t="n"/>
      <c r="K98" s="97" t="n"/>
      <c r="L98" s="97" t="n"/>
      <c r="M98" s="97" t="n"/>
      <c r="N98" s="97" t="n"/>
      <c r="O98" s="97" t="n"/>
      <c r="P98" s="97" t="n"/>
    </row>
    <row r="99" ht="15.75" customHeight="1" s="105">
      <c r="B99" s="97" t="n"/>
      <c r="D99" s="97" t="n"/>
      <c r="E99" s="97" t="n"/>
      <c r="F99" s="97" t="n"/>
      <c r="G99" s="97" t="n"/>
      <c r="H99" s="97" t="n"/>
      <c r="I99" s="97" t="n"/>
      <c r="J99" s="97" t="n"/>
      <c r="K99" s="97" t="n"/>
      <c r="L99" s="97" t="n"/>
      <c r="M99" s="97" t="n"/>
      <c r="N99" s="97" t="n"/>
      <c r="O99" s="97" t="n"/>
      <c r="P99" s="97" t="n"/>
    </row>
    <row r="100" ht="15.75" customHeight="1" s="105">
      <c r="B100" s="97" t="n"/>
      <c r="D100" s="97" t="n"/>
      <c r="E100" s="97" t="n"/>
      <c r="F100" s="97" t="n"/>
      <c r="G100" s="97" t="n"/>
      <c r="H100" s="97" t="n"/>
      <c r="I100" s="97" t="n"/>
      <c r="J100" s="97" t="n"/>
      <c r="K100" s="97" t="n"/>
      <c r="L100" s="97" t="n"/>
      <c r="M100" s="97" t="n"/>
      <c r="N100" s="97" t="n"/>
      <c r="O100" s="97" t="n"/>
      <c r="P100" s="97" t="n"/>
    </row>
    <row r="101" ht="15.75" customHeight="1" s="105">
      <c r="B101" s="97" t="n"/>
      <c r="D101" s="97" t="n"/>
      <c r="E101" s="97" t="n"/>
      <c r="F101" s="97" t="n"/>
      <c r="G101" s="97" t="n"/>
      <c r="H101" s="97" t="n"/>
      <c r="I101" s="97" t="n"/>
      <c r="J101" s="97" t="n"/>
      <c r="K101" s="97" t="n"/>
      <c r="L101" s="97" t="n"/>
      <c r="M101" s="97" t="n"/>
      <c r="N101" s="97" t="n"/>
      <c r="O101" s="97" t="n"/>
      <c r="P101" s="97" t="n"/>
    </row>
    <row r="102" ht="15.75" customHeight="1" s="105">
      <c r="B102" s="97" t="n"/>
      <c r="D102" s="97" t="n"/>
      <c r="E102" s="97" t="n"/>
      <c r="F102" s="97" t="n"/>
      <c r="G102" s="97" t="n"/>
      <c r="H102" s="97" t="n"/>
      <c r="I102" s="97" t="n"/>
      <c r="J102" s="97" t="n"/>
      <c r="K102" s="97" t="n"/>
      <c r="L102" s="97" t="n"/>
      <c r="M102" s="97" t="n"/>
      <c r="N102" s="97" t="n"/>
      <c r="O102" s="97" t="n"/>
      <c r="P102" s="97" t="n"/>
    </row>
    <row r="103" ht="15.75" customHeight="1" s="105">
      <c r="B103" s="97" t="n"/>
      <c r="D103" s="97" t="n"/>
      <c r="E103" s="97" t="n"/>
      <c r="F103" s="97" t="n"/>
      <c r="G103" s="97" t="n"/>
      <c r="H103" s="97" t="n"/>
      <c r="I103" s="97" t="n"/>
      <c r="J103" s="97" t="n"/>
      <c r="K103" s="97" t="n"/>
      <c r="L103" s="97" t="n"/>
      <c r="M103" s="97" t="n"/>
      <c r="N103" s="97" t="n"/>
      <c r="O103" s="97" t="n"/>
      <c r="P103" s="97" t="n"/>
    </row>
    <row r="104" ht="15.75" customHeight="1" s="105">
      <c r="B104" s="97" t="n"/>
      <c r="D104" s="97" t="n"/>
      <c r="E104" s="97" t="n"/>
      <c r="F104" s="97" t="n"/>
      <c r="G104" s="97" t="n"/>
      <c r="H104" s="97" t="n"/>
      <c r="I104" s="97" t="n"/>
      <c r="J104" s="97" t="n"/>
      <c r="K104" s="97" t="n"/>
      <c r="L104" s="97" t="n"/>
      <c r="M104" s="97" t="n"/>
      <c r="N104" s="97" t="n"/>
      <c r="O104" s="97" t="n"/>
      <c r="P104" s="97" t="n"/>
    </row>
    <row r="105" ht="15.75" customHeight="1" s="105">
      <c r="B105" s="97" t="n"/>
      <c r="D105" s="97" t="n"/>
      <c r="E105" s="97" t="n"/>
      <c r="F105" s="97" t="n"/>
      <c r="G105" s="97" t="n"/>
      <c r="H105" s="97" t="n"/>
      <c r="I105" s="97" t="n"/>
      <c r="J105" s="97" t="n"/>
      <c r="K105" s="97" t="n"/>
      <c r="L105" s="97" t="n"/>
      <c r="M105" s="97" t="n"/>
      <c r="N105" s="97" t="n"/>
      <c r="O105" s="97" t="n"/>
      <c r="P105" s="97" t="n"/>
    </row>
    <row r="106" ht="15.75" customHeight="1" s="105">
      <c r="B106" s="97" t="n"/>
      <c r="D106" s="97" t="n"/>
      <c r="E106" s="97" t="n"/>
      <c r="F106" s="97" t="n"/>
      <c r="G106" s="97" t="n"/>
      <c r="H106" s="97" t="n"/>
      <c r="I106" s="97" t="n"/>
      <c r="J106" s="97" t="n"/>
      <c r="K106" s="97" t="n"/>
      <c r="L106" s="97" t="n"/>
      <c r="M106" s="97" t="n"/>
      <c r="N106" s="97" t="n"/>
      <c r="O106" s="97" t="n"/>
      <c r="P106" s="97" t="n"/>
    </row>
    <row r="107" ht="15.75" customHeight="1" s="105">
      <c r="B107" s="97" t="n"/>
      <c r="D107" s="97" t="n"/>
      <c r="E107" s="97" t="n"/>
      <c r="F107" s="97" t="n"/>
      <c r="G107" s="97" t="n"/>
      <c r="H107" s="97" t="n"/>
      <c r="I107" s="97" t="n"/>
      <c r="J107" s="97" t="n"/>
      <c r="K107" s="97" t="n"/>
      <c r="L107" s="97" t="n"/>
      <c r="M107" s="97" t="n"/>
      <c r="N107" s="97" t="n"/>
      <c r="O107" s="97" t="n"/>
      <c r="P107" s="97" t="n"/>
    </row>
    <row r="108" ht="15.75" customHeight="1" s="105">
      <c r="B108" s="97" t="n"/>
      <c r="D108" s="97" t="n"/>
      <c r="E108" s="97" t="n"/>
      <c r="F108" s="97" t="n"/>
      <c r="G108" s="97" t="n"/>
      <c r="H108" s="97" t="n"/>
      <c r="I108" s="97" t="n"/>
      <c r="J108" s="97" t="n"/>
      <c r="K108" s="97" t="n"/>
      <c r="L108" s="97" t="n"/>
      <c r="M108" s="97" t="n"/>
      <c r="N108" s="97" t="n"/>
      <c r="O108" s="97" t="n"/>
      <c r="P108" s="97" t="n"/>
    </row>
    <row r="109" ht="15.75" customHeight="1" s="105">
      <c r="B109" s="97" t="n"/>
      <c r="D109" s="97" t="n"/>
      <c r="E109" s="97" t="n"/>
      <c r="F109" s="97" t="n"/>
      <c r="G109" s="97" t="n"/>
      <c r="H109" s="97" t="n"/>
      <c r="I109" s="97" t="n"/>
      <c r="J109" s="97" t="n"/>
      <c r="K109" s="97" t="n"/>
      <c r="L109" s="97" t="n"/>
      <c r="M109" s="97" t="n"/>
      <c r="N109" s="97" t="n"/>
      <c r="O109" s="97" t="n"/>
      <c r="P109" s="97" t="n"/>
    </row>
    <row r="110" ht="15.75" customHeight="1" s="105">
      <c r="B110" s="97" t="n"/>
      <c r="D110" s="97" t="n"/>
      <c r="E110" s="97" t="n"/>
      <c r="F110" s="97" t="n"/>
      <c r="G110" s="97" t="n"/>
      <c r="H110" s="97" t="n"/>
      <c r="I110" s="97" t="n"/>
      <c r="J110" s="97" t="n"/>
      <c r="K110" s="97" t="n"/>
      <c r="L110" s="97" t="n"/>
      <c r="M110" s="97" t="n"/>
      <c r="N110" s="97" t="n"/>
      <c r="O110" s="97" t="n"/>
      <c r="P110" s="97" t="n"/>
    </row>
    <row r="111" ht="15.75" customHeight="1" s="105">
      <c r="B111" s="97" t="n"/>
      <c r="D111" s="97" t="n"/>
      <c r="E111" s="97" t="n"/>
      <c r="F111" s="97" t="n"/>
      <c r="G111" s="97" t="n"/>
      <c r="H111" s="97" t="n"/>
      <c r="I111" s="97" t="n"/>
      <c r="J111" s="97" t="n"/>
      <c r="K111" s="97" t="n"/>
      <c r="L111" s="97" t="n"/>
      <c r="M111" s="97" t="n"/>
      <c r="N111" s="97" t="n"/>
      <c r="O111" s="97" t="n"/>
      <c r="P111" s="97" t="n"/>
    </row>
    <row r="112" ht="15.75" customHeight="1" s="105">
      <c r="B112" s="97" t="n"/>
      <c r="D112" s="97" t="n"/>
      <c r="E112" s="97" t="n"/>
      <c r="F112" s="97" t="n"/>
      <c r="G112" s="97" t="n"/>
      <c r="H112" s="97" t="n"/>
      <c r="I112" s="97" t="n"/>
      <c r="J112" s="97" t="n"/>
      <c r="K112" s="97" t="n"/>
      <c r="L112" s="97" t="n"/>
      <c r="M112" s="97" t="n"/>
      <c r="N112" s="97" t="n"/>
      <c r="O112" s="97" t="n"/>
      <c r="P112" s="97" t="n"/>
    </row>
    <row r="113" ht="15.75" customHeight="1" s="105">
      <c r="B113" s="97" t="n"/>
      <c r="D113" s="97" t="n"/>
      <c r="E113" s="97" t="n"/>
      <c r="F113" s="97" t="n"/>
      <c r="G113" s="97" t="n"/>
      <c r="H113" s="97" t="n"/>
      <c r="I113" s="97" t="n"/>
      <c r="J113" s="97" t="n"/>
      <c r="K113" s="97" t="n"/>
      <c r="L113" s="97" t="n"/>
      <c r="M113" s="97" t="n"/>
      <c r="N113" s="97" t="n"/>
      <c r="O113" s="97" t="n"/>
      <c r="P113" s="97" t="n"/>
    </row>
    <row r="114" ht="15.75" customHeight="1" s="105">
      <c r="B114" s="97" t="n"/>
      <c r="D114" s="97" t="n"/>
      <c r="E114" s="97" t="n"/>
      <c r="F114" s="97" t="n"/>
      <c r="G114" s="97" t="n"/>
      <c r="H114" s="97" t="n"/>
      <c r="I114" s="97" t="n"/>
      <c r="J114" s="97" t="n"/>
      <c r="K114" s="97" t="n"/>
      <c r="L114" s="97" t="n"/>
      <c r="M114" s="97" t="n"/>
      <c r="N114" s="97" t="n"/>
      <c r="O114" s="97" t="n"/>
      <c r="P114" s="97" t="n"/>
    </row>
    <row r="115" ht="15.75" customHeight="1" s="105">
      <c r="B115" s="97" t="n"/>
      <c r="D115" s="97" t="n"/>
      <c r="E115" s="97" t="n"/>
      <c r="F115" s="97" t="n"/>
      <c r="G115" s="97" t="n"/>
      <c r="H115" s="97" t="n"/>
      <c r="I115" s="97" t="n"/>
      <c r="J115" s="97" t="n"/>
      <c r="K115" s="97" t="n"/>
      <c r="L115" s="97" t="n"/>
      <c r="M115" s="97" t="n"/>
      <c r="N115" s="97" t="n"/>
      <c r="O115" s="97" t="n"/>
      <c r="P115" s="97" t="n"/>
    </row>
    <row r="116" ht="15.75" customHeight="1" s="105">
      <c r="B116" s="97" t="n"/>
      <c r="D116" s="97" t="n"/>
      <c r="E116" s="97" t="n"/>
      <c r="F116" s="97" t="n"/>
      <c r="G116" s="97" t="n"/>
      <c r="H116" s="97" t="n"/>
      <c r="I116" s="97" t="n"/>
      <c r="J116" s="97" t="n"/>
      <c r="K116" s="97" t="n"/>
      <c r="L116" s="97" t="n"/>
      <c r="M116" s="97" t="n"/>
      <c r="N116" s="97" t="n"/>
      <c r="O116" s="97" t="n"/>
      <c r="P116" s="97" t="n"/>
    </row>
    <row r="117" ht="15.75" customHeight="1" s="105">
      <c r="B117" s="97" t="n"/>
      <c r="D117" s="97" t="n"/>
      <c r="E117" s="97" t="n"/>
      <c r="F117" s="97" t="n"/>
      <c r="G117" s="97" t="n"/>
      <c r="H117" s="97" t="n"/>
      <c r="I117" s="97" t="n"/>
      <c r="J117" s="97" t="n"/>
      <c r="K117" s="97" t="n"/>
      <c r="L117" s="97" t="n"/>
      <c r="M117" s="97" t="n"/>
      <c r="N117" s="97" t="n"/>
      <c r="O117" s="97" t="n"/>
      <c r="P117" s="97" t="n"/>
    </row>
    <row r="118" ht="15.75" customHeight="1" s="105">
      <c r="B118" s="97" t="n"/>
      <c r="D118" s="97" t="n"/>
      <c r="E118" s="97" t="n"/>
      <c r="F118" s="97" t="n"/>
      <c r="G118" s="97" t="n"/>
      <c r="H118" s="97" t="n"/>
      <c r="I118" s="97" t="n"/>
      <c r="J118" s="97" t="n"/>
      <c r="K118" s="97" t="n"/>
      <c r="L118" s="97" t="n"/>
      <c r="M118" s="97" t="n"/>
      <c r="N118" s="97" t="n"/>
      <c r="O118" s="97" t="n"/>
      <c r="P118" s="97" t="n"/>
    </row>
    <row r="119" ht="15.75" customHeight="1" s="105">
      <c r="B119" s="97" t="n"/>
      <c r="D119" s="97" t="n"/>
      <c r="E119" s="97" t="n"/>
      <c r="F119" s="97" t="n"/>
      <c r="G119" s="97" t="n"/>
      <c r="H119" s="97" t="n"/>
      <c r="I119" s="97" t="n"/>
      <c r="J119" s="97" t="n"/>
      <c r="K119" s="97" t="n"/>
      <c r="L119" s="97" t="n"/>
      <c r="M119" s="97" t="n"/>
      <c r="N119" s="97" t="n"/>
      <c r="O119" s="97" t="n"/>
      <c r="P119" s="97" t="n"/>
    </row>
    <row r="120" ht="15.75" customHeight="1" s="105">
      <c r="B120" s="97" t="n"/>
      <c r="D120" s="97" t="n"/>
      <c r="E120" s="97" t="n"/>
      <c r="F120" s="97" t="n"/>
      <c r="G120" s="97" t="n"/>
      <c r="H120" s="97" t="n"/>
      <c r="I120" s="97" t="n"/>
      <c r="J120" s="97" t="n"/>
      <c r="K120" s="97" t="n"/>
      <c r="L120" s="97" t="n"/>
      <c r="M120" s="97" t="n"/>
      <c r="N120" s="97" t="n"/>
      <c r="O120" s="97" t="n"/>
      <c r="P120" s="97" t="n"/>
    </row>
    <row r="121" ht="15.75" customHeight="1" s="105">
      <c r="B121" s="97" t="n"/>
      <c r="D121" s="97" t="n"/>
      <c r="E121" s="97" t="n"/>
      <c r="F121" s="97" t="n"/>
      <c r="G121" s="97" t="n"/>
      <c r="H121" s="97" t="n"/>
      <c r="I121" s="97" t="n"/>
      <c r="J121" s="97" t="n"/>
      <c r="K121" s="97" t="n"/>
      <c r="L121" s="97" t="n"/>
      <c r="M121" s="97" t="n"/>
      <c r="N121" s="97" t="n"/>
      <c r="O121" s="97" t="n"/>
      <c r="P121" s="97" t="n"/>
    </row>
    <row r="122" ht="15.75" customHeight="1" s="105">
      <c r="B122" s="97" t="n"/>
      <c r="D122" s="97" t="n"/>
      <c r="E122" s="97" t="n"/>
      <c r="F122" s="97" t="n"/>
      <c r="G122" s="97" t="n"/>
      <c r="H122" s="97" t="n"/>
      <c r="I122" s="97" t="n"/>
      <c r="J122" s="97" t="n"/>
      <c r="K122" s="97" t="n"/>
      <c r="L122" s="97" t="n"/>
      <c r="M122" s="97" t="n"/>
      <c r="N122" s="97" t="n"/>
      <c r="O122" s="97" t="n"/>
      <c r="P122" s="97" t="n"/>
    </row>
    <row r="123" ht="15.75" customHeight="1" s="105">
      <c r="B123" s="97" t="n"/>
      <c r="D123" s="97" t="n"/>
      <c r="E123" s="97" t="n"/>
      <c r="F123" s="97" t="n"/>
      <c r="G123" s="97" t="n"/>
      <c r="H123" s="97" t="n"/>
      <c r="I123" s="97" t="n"/>
      <c r="J123" s="97" t="n"/>
      <c r="K123" s="97" t="n"/>
      <c r="L123" s="97" t="n"/>
      <c r="M123" s="97" t="n"/>
      <c r="N123" s="97" t="n"/>
      <c r="O123" s="97" t="n"/>
      <c r="P123" s="97" t="n"/>
    </row>
    <row r="124" ht="15.75" customHeight="1" s="105">
      <c r="B124" s="97" t="n"/>
      <c r="D124" s="97" t="n"/>
      <c r="E124" s="97" t="n"/>
      <c r="F124" s="97" t="n"/>
      <c r="G124" s="97" t="n"/>
      <c r="H124" s="97" t="n"/>
      <c r="I124" s="97" t="n"/>
      <c r="J124" s="97" t="n"/>
      <c r="K124" s="97" t="n"/>
      <c r="L124" s="97" t="n"/>
      <c r="M124" s="97" t="n"/>
      <c r="N124" s="97" t="n"/>
      <c r="O124" s="97" t="n"/>
      <c r="P124" s="97" t="n"/>
    </row>
    <row r="125" ht="15.75" customHeight="1" s="105">
      <c r="B125" s="97" t="n"/>
      <c r="D125" s="97" t="n"/>
      <c r="E125" s="97" t="n"/>
      <c r="F125" s="97" t="n"/>
      <c r="G125" s="97" t="n"/>
      <c r="H125" s="97" t="n"/>
      <c r="I125" s="97" t="n"/>
      <c r="J125" s="97" t="n"/>
      <c r="K125" s="97" t="n"/>
      <c r="L125" s="97" t="n"/>
      <c r="M125" s="97" t="n"/>
      <c r="N125" s="97" t="n"/>
      <c r="O125" s="97" t="n"/>
      <c r="P125" s="97" t="n"/>
    </row>
    <row r="126" ht="15.75" customHeight="1" s="105">
      <c r="B126" s="97" t="n"/>
      <c r="D126" s="97" t="n"/>
      <c r="E126" s="97" t="n"/>
      <c r="F126" s="97" t="n"/>
      <c r="G126" s="97" t="n"/>
      <c r="H126" s="97" t="n"/>
      <c r="I126" s="97" t="n"/>
      <c r="J126" s="97" t="n"/>
      <c r="K126" s="97" t="n"/>
      <c r="L126" s="97" t="n"/>
      <c r="M126" s="97" t="n"/>
      <c r="N126" s="97" t="n"/>
      <c r="O126" s="97" t="n"/>
      <c r="P126" s="97" t="n"/>
    </row>
    <row r="127" ht="15.75" customHeight="1" s="105">
      <c r="B127" s="97" t="n"/>
      <c r="D127" s="97" t="n"/>
      <c r="E127" s="97" t="n"/>
      <c r="F127" s="97" t="n"/>
      <c r="G127" s="97" t="n"/>
      <c r="H127" s="97" t="n"/>
      <c r="I127" s="97" t="n"/>
      <c r="J127" s="97" t="n"/>
      <c r="K127" s="97" t="n"/>
      <c r="L127" s="97" t="n"/>
      <c r="M127" s="97" t="n"/>
      <c r="N127" s="97" t="n"/>
      <c r="O127" s="97" t="n"/>
      <c r="P127" s="97" t="n"/>
    </row>
    <row r="128" ht="15.75" customHeight="1" s="105">
      <c r="B128" s="97" t="n"/>
      <c r="D128" s="97" t="n"/>
      <c r="E128" s="97" t="n"/>
      <c r="F128" s="97" t="n"/>
      <c r="G128" s="97" t="n"/>
      <c r="H128" s="97" t="n"/>
      <c r="I128" s="97" t="n"/>
      <c r="J128" s="97" t="n"/>
      <c r="K128" s="97" t="n"/>
      <c r="L128" s="97" t="n"/>
      <c r="M128" s="97" t="n"/>
      <c r="N128" s="97" t="n"/>
      <c r="O128" s="97" t="n"/>
      <c r="P128" s="97" t="n"/>
    </row>
    <row r="129" ht="15.75" customHeight="1" s="105">
      <c r="B129" s="97" t="n"/>
      <c r="D129" s="97" t="n"/>
      <c r="E129" s="97" t="n"/>
      <c r="F129" s="97" t="n"/>
      <c r="G129" s="97" t="n"/>
      <c r="H129" s="97" t="n"/>
      <c r="I129" s="97" t="n"/>
      <c r="J129" s="97" t="n"/>
      <c r="K129" s="97" t="n"/>
      <c r="L129" s="97" t="n"/>
      <c r="M129" s="97" t="n"/>
      <c r="N129" s="97" t="n"/>
      <c r="O129" s="97" t="n"/>
      <c r="P129" s="97" t="n"/>
    </row>
    <row r="130" ht="15.75" customHeight="1" s="105">
      <c r="B130" s="97" t="n"/>
      <c r="D130" s="97" t="n"/>
      <c r="E130" s="97" t="n"/>
      <c r="F130" s="97" t="n"/>
      <c r="G130" s="97" t="n"/>
      <c r="H130" s="97" t="n"/>
      <c r="I130" s="97" t="n"/>
      <c r="J130" s="97" t="n"/>
      <c r="K130" s="97" t="n"/>
      <c r="L130" s="97" t="n"/>
      <c r="M130" s="97" t="n"/>
      <c r="N130" s="97" t="n"/>
      <c r="O130" s="97" t="n"/>
      <c r="P130" s="97" t="n"/>
    </row>
    <row r="131" ht="15.75" customHeight="1" s="105">
      <c r="B131" s="97" t="n"/>
      <c r="D131" s="97" t="n"/>
      <c r="E131" s="97" t="n"/>
      <c r="F131" s="97" t="n"/>
      <c r="G131" s="97" t="n"/>
      <c r="H131" s="97" t="n"/>
      <c r="I131" s="97" t="n"/>
      <c r="J131" s="97" t="n"/>
      <c r="K131" s="97" t="n"/>
      <c r="L131" s="97" t="n"/>
      <c r="M131" s="97" t="n"/>
      <c r="N131" s="97" t="n"/>
      <c r="O131" s="97" t="n"/>
      <c r="P131" s="97" t="n"/>
    </row>
    <row r="132" ht="15.75" customHeight="1" s="105">
      <c r="B132" s="97" t="n"/>
      <c r="D132" s="97" t="n"/>
      <c r="E132" s="97" t="n"/>
      <c r="F132" s="97" t="n"/>
      <c r="G132" s="97" t="n"/>
      <c r="H132" s="97" t="n"/>
      <c r="I132" s="97" t="n"/>
      <c r="J132" s="97" t="n"/>
      <c r="K132" s="97" t="n"/>
      <c r="L132" s="97" t="n"/>
      <c r="M132" s="97" t="n"/>
      <c r="N132" s="97" t="n"/>
      <c r="O132" s="97" t="n"/>
      <c r="P132" s="97" t="n"/>
    </row>
    <row r="133" ht="15.75" customHeight="1" s="105">
      <c r="B133" s="97" t="n"/>
      <c r="D133" s="97" t="n"/>
      <c r="E133" s="97" t="n"/>
      <c r="F133" s="97" t="n"/>
      <c r="G133" s="97" t="n"/>
      <c r="H133" s="97" t="n"/>
      <c r="I133" s="97" t="n"/>
      <c r="J133" s="97" t="n"/>
      <c r="K133" s="97" t="n"/>
      <c r="L133" s="97" t="n"/>
      <c r="M133" s="97" t="n"/>
      <c r="N133" s="97" t="n"/>
      <c r="O133" s="97" t="n"/>
      <c r="P133" s="97" t="n"/>
    </row>
    <row r="134" ht="15.75" customHeight="1" s="105">
      <c r="B134" s="97" t="n"/>
      <c r="D134" s="97" t="n"/>
      <c r="E134" s="97" t="n"/>
      <c r="F134" s="97" t="n"/>
      <c r="G134" s="97" t="n"/>
      <c r="H134" s="97" t="n"/>
      <c r="I134" s="97" t="n"/>
      <c r="J134" s="97" t="n"/>
      <c r="K134" s="97" t="n"/>
      <c r="L134" s="97" t="n"/>
      <c r="M134" s="97" t="n"/>
      <c r="N134" s="97" t="n"/>
      <c r="O134" s="97" t="n"/>
      <c r="P134" s="97" t="n"/>
    </row>
    <row r="135" ht="15.75" customHeight="1" s="105">
      <c r="B135" s="97" t="n"/>
      <c r="D135" s="97" t="n"/>
      <c r="E135" s="97" t="n"/>
      <c r="F135" s="97" t="n"/>
      <c r="G135" s="97" t="n"/>
      <c r="H135" s="97" t="n"/>
      <c r="I135" s="97" t="n"/>
      <c r="J135" s="97" t="n"/>
      <c r="K135" s="97" t="n"/>
      <c r="L135" s="97" t="n"/>
      <c r="M135" s="97" t="n"/>
      <c r="N135" s="97" t="n"/>
      <c r="O135" s="97" t="n"/>
      <c r="P135" s="97" t="n"/>
    </row>
    <row r="136" ht="15.75" customHeight="1" s="105">
      <c r="B136" s="97" t="n"/>
      <c r="D136" s="97" t="n"/>
      <c r="E136" s="97" t="n"/>
      <c r="F136" s="97" t="n"/>
      <c r="G136" s="97" t="n"/>
      <c r="H136" s="97" t="n"/>
      <c r="I136" s="97" t="n"/>
      <c r="J136" s="97" t="n"/>
      <c r="K136" s="97" t="n"/>
      <c r="L136" s="97" t="n"/>
      <c r="M136" s="97" t="n"/>
      <c r="N136" s="97" t="n"/>
      <c r="O136" s="97" t="n"/>
      <c r="P136" s="97" t="n"/>
    </row>
    <row r="137" ht="15.75" customHeight="1" s="105">
      <c r="B137" s="97" t="n"/>
      <c r="D137" s="97" t="n"/>
      <c r="E137" s="97" t="n"/>
      <c r="F137" s="97" t="n"/>
      <c r="G137" s="97" t="n"/>
      <c r="H137" s="97" t="n"/>
      <c r="I137" s="97" t="n"/>
      <c r="J137" s="97" t="n"/>
      <c r="K137" s="97" t="n"/>
      <c r="L137" s="97" t="n"/>
      <c r="M137" s="97" t="n"/>
      <c r="N137" s="97" t="n"/>
      <c r="O137" s="97" t="n"/>
      <c r="P137" s="97" t="n"/>
    </row>
    <row r="138" ht="15.75" customHeight="1" s="105">
      <c r="B138" s="97" t="n"/>
      <c r="D138" s="97" t="n"/>
      <c r="E138" s="97" t="n"/>
      <c r="F138" s="97" t="n"/>
      <c r="G138" s="97" t="n"/>
      <c r="H138" s="97" t="n"/>
      <c r="I138" s="97" t="n"/>
      <c r="J138" s="97" t="n"/>
      <c r="K138" s="97" t="n"/>
      <c r="L138" s="97" t="n"/>
      <c r="M138" s="97" t="n"/>
      <c r="N138" s="97" t="n"/>
      <c r="O138" s="97" t="n"/>
      <c r="P138" s="97" t="n"/>
    </row>
    <row r="139" ht="15.75" customHeight="1" s="105">
      <c r="B139" s="97" t="n"/>
      <c r="D139" s="97" t="n"/>
      <c r="E139" s="97" t="n"/>
      <c r="F139" s="97" t="n"/>
      <c r="G139" s="97" t="n"/>
      <c r="H139" s="97" t="n"/>
      <c r="I139" s="97" t="n"/>
      <c r="J139" s="97" t="n"/>
      <c r="K139" s="97" t="n"/>
      <c r="L139" s="97" t="n"/>
      <c r="M139" s="97" t="n"/>
      <c r="N139" s="97" t="n"/>
      <c r="O139" s="97" t="n"/>
      <c r="P139" s="97" t="n"/>
    </row>
    <row r="140" ht="15.75" customHeight="1" s="105">
      <c r="B140" s="97" t="n"/>
      <c r="D140" s="97" t="n"/>
      <c r="E140" s="97" t="n"/>
      <c r="F140" s="97" t="n"/>
      <c r="G140" s="97" t="n"/>
      <c r="H140" s="97" t="n"/>
      <c r="I140" s="97" t="n"/>
      <c r="J140" s="97" t="n"/>
      <c r="K140" s="97" t="n"/>
      <c r="L140" s="97" t="n"/>
      <c r="M140" s="97" t="n"/>
      <c r="N140" s="97" t="n"/>
      <c r="O140" s="97" t="n"/>
      <c r="P140" s="97" t="n"/>
    </row>
    <row r="141" ht="15.75" customHeight="1" s="105">
      <c r="B141" s="97" t="n"/>
      <c r="D141" s="97" t="n"/>
      <c r="E141" s="97" t="n"/>
      <c r="F141" s="97" t="n"/>
      <c r="G141" s="97" t="n"/>
      <c r="H141" s="97" t="n"/>
      <c r="I141" s="97" t="n"/>
      <c r="J141" s="97" t="n"/>
      <c r="K141" s="97" t="n"/>
      <c r="L141" s="97" t="n"/>
      <c r="M141" s="97" t="n"/>
      <c r="N141" s="97" t="n"/>
      <c r="O141" s="97" t="n"/>
      <c r="P141" s="97" t="n"/>
    </row>
    <row r="142" ht="15.75" customHeight="1" s="105">
      <c r="B142" s="97" t="n"/>
      <c r="D142" s="97" t="n"/>
      <c r="E142" s="97" t="n"/>
      <c r="F142" s="97" t="n"/>
      <c r="G142" s="97" t="n"/>
      <c r="H142" s="97" t="n"/>
      <c r="I142" s="97" t="n"/>
      <c r="J142" s="97" t="n"/>
      <c r="K142" s="97" t="n"/>
      <c r="L142" s="97" t="n"/>
      <c r="M142" s="97" t="n"/>
      <c r="N142" s="97" t="n"/>
      <c r="O142" s="97" t="n"/>
      <c r="P142" s="97" t="n"/>
    </row>
    <row r="143" ht="15.75" customHeight="1" s="105">
      <c r="B143" s="97" t="n"/>
      <c r="D143" s="97" t="n"/>
      <c r="E143" s="97" t="n"/>
      <c r="F143" s="97" t="n"/>
      <c r="G143" s="97" t="n"/>
      <c r="H143" s="97" t="n"/>
      <c r="I143" s="97" t="n"/>
      <c r="J143" s="97" t="n"/>
      <c r="K143" s="97" t="n"/>
      <c r="L143" s="97" t="n"/>
      <c r="M143" s="97" t="n"/>
      <c r="N143" s="97" t="n"/>
      <c r="O143" s="97" t="n"/>
      <c r="P143" s="97" t="n"/>
    </row>
    <row r="144" ht="15.75" customHeight="1" s="105">
      <c r="B144" s="97" t="n"/>
      <c r="D144" s="97" t="n"/>
      <c r="E144" s="97" t="n"/>
      <c r="F144" s="97" t="n"/>
      <c r="G144" s="97" t="n"/>
      <c r="H144" s="97" t="n"/>
      <c r="I144" s="97" t="n"/>
      <c r="J144" s="97" t="n"/>
      <c r="K144" s="97" t="n"/>
      <c r="L144" s="97" t="n"/>
      <c r="M144" s="97" t="n"/>
      <c r="N144" s="97" t="n"/>
      <c r="O144" s="97" t="n"/>
      <c r="P144" s="97" t="n"/>
    </row>
    <row r="145" ht="15.75" customHeight="1" s="105">
      <c r="B145" s="97" t="n"/>
      <c r="D145" s="97" t="n"/>
      <c r="E145" s="97" t="n"/>
      <c r="F145" s="97" t="n"/>
      <c r="G145" s="97" t="n"/>
      <c r="H145" s="97" t="n"/>
      <c r="I145" s="97" t="n"/>
      <c r="J145" s="97" t="n"/>
      <c r="K145" s="97" t="n"/>
      <c r="L145" s="97" t="n"/>
      <c r="M145" s="97" t="n"/>
      <c r="N145" s="97" t="n"/>
      <c r="O145" s="97" t="n"/>
      <c r="P145" s="97" t="n"/>
    </row>
    <row r="146" ht="15.75" customHeight="1" s="105">
      <c r="B146" s="97" t="n"/>
      <c r="D146" s="97" t="n"/>
      <c r="E146" s="97" t="n"/>
      <c r="F146" s="97" t="n"/>
      <c r="G146" s="97" t="n"/>
      <c r="H146" s="97" t="n"/>
      <c r="I146" s="97" t="n"/>
      <c r="J146" s="97" t="n"/>
      <c r="K146" s="97" t="n"/>
      <c r="L146" s="97" t="n"/>
      <c r="M146" s="97" t="n"/>
      <c r="N146" s="97" t="n"/>
      <c r="O146" s="97" t="n"/>
      <c r="P146" s="97" t="n"/>
    </row>
    <row r="147" ht="15.75" customHeight="1" s="105">
      <c r="B147" s="97" t="n"/>
      <c r="D147" s="97" t="n"/>
      <c r="E147" s="97" t="n"/>
      <c r="F147" s="97" t="n"/>
      <c r="G147" s="97" t="n"/>
      <c r="H147" s="97" t="n"/>
      <c r="I147" s="97" t="n"/>
      <c r="J147" s="97" t="n"/>
      <c r="K147" s="97" t="n"/>
      <c r="L147" s="97" t="n"/>
      <c r="M147" s="97" t="n"/>
      <c r="N147" s="97" t="n"/>
      <c r="O147" s="97" t="n"/>
      <c r="P147" s="97" t="n"/>
    </row>
    <row r="148" ht="15.75" customHeight="1" s="105">
      <c r="B148" s="97" t="n"/>
      <c r="D148" s="97" t="n"/>
      <c r="E148" s="97" t="n"/>
      <c r="F148" s="97" t="n"/>
      <c r="G148" s="97" t="n"/>
      <c r="H148" s="97" t="n"/>
      <c r="I148" s="97" t="n"/>
      <c r="J148" s="97" t="n"/>
      <c r="K148" s="97" t="n"/>
      <c r="L148" s="97" t="n"/>
      <c r="M148" s="97" t="n"/>
      <c r="N148" s="97" t="n"/>
      <c r="O148" s="97" t="n"/>
      <c r="P148" s="97" t="n"/>
    </row>
    <row r="149" ht="15.75" customHeight="1" s="105">
      <c r="B149" s="97" t="n"/>
      <c r="D149" s="97" t="n"/>
      <c r="E149" s="97" t="n"/>
      <c r="F149" s="97" t="n"/>
      <c r="G149" s="97" t="n"/>
      <c r="H149" s="97" t="n"/>
      <c r="I149" s="97" t="n"/>
      <c r="J149" s="97" t="n"/>
      <c r="K149" s="97" t="n"/>
      <c r="L149" s="97" t="n"/>
      <c r="M149" s="97" t="n"/>
      <c r="N149" s="97" t="n"/>
      <c r="O149" s="97" t="n"/>
      <c r="P149" s="97" t="n"/>
    </row>
    <row r="150" ht="15.75" customHeight="1" s="105">
      <c r="B150" s="97" t="n"/>
      <c r="D150" s="97" t="n"/>
      <c r="E150" s="97" t="n"/>
      <c r="F150" s="97" t="n"/>
      <c r="G150" s="97" t="n"/>
      <c r="H150" s="97" t="n"/>
      <c r="I150" s="97" t="n"/>
      <c r="J150" s="97" t="n"/>
      <c r="K150" s="97" t="n"/>
      <c r="L150" s="97" t="n"/>
      <c r="M150" s="97" t="n"/>
      <c r="N150" s="97" t="n"/>
      <c r="O150" s="97" t="n"/>
      <c r="P150" s="97" t="n"/>
    </row>
    <row r="151" ht="15.75" customHeight="1" s="105">
      <c r="B151" s="97" t="n"/>
      <c r="D151" s="97" t="n"/>
      <c r="E151" s="97" t="n"/>
      <c r="F151" s="97" t="n"/>
      <c r="G151" s="97" t="n"/>
      <c r="H151" s="97" t="n"/>
      <c r="I151" s="97" t="n"/>
      <c r="J151" s="97" t="n"/>
      <c r="K151" s="97" t="n"/>
      <c r="L151" s="97" t="n"/>
      <c r="M151" s="97" t="n"/>
      <c r="N151" s="97" t="n"/>
      <c r="O151" s="97" t="n"/>
      <c r="P151" s="97" t="n"/>
    </row>
    <row r="152" ht="15.75" customHeight="1" s="105">
      <c r="B152" s="97" t="n"/>
      <c r="D152" s="97" t="n"/>
      <c r="E152" s="97" t="n"/>
      <c r="F152" s="97" t="n"/>
      <c r="G152" s="97" t="n"/>
      <c r="H152" s="97" t="n"/>
      <c r="I152" s="97" t="n"/>
      <c r="J152" s="97" t="n"/>
      <c r="K152" s="97" t="n"/>
      <c r="L152" s="97" t="n"/>
      <c r="M152" s="97" t="n"/>
      <c r="N152" s="97" t="n"/>
      <c r="O152" s="97" t="n"/>
      <c r="P152" s="97" t="n"/>
    </row>
    <row r="153" ht="15.75" customHeight="1" s="105">
      <c r="B153" s="97" t="n"/>
      <c r="D153" s="97" t="n"/>
      <c r="E153" s="97" t="n"/>
      <c r="F153" s="97" t="n"/>
      <c r="G153" s="97" t="n"/>
      <c r="H153" s="97" t="n"/>
      <c r="I153" s="97" t="n"/>
      <c r="J153" s="97" t="n"/>
      <c r="K153" s="97" t="n"/>
      <c r="L153" s="97" t="n"/>
      <c r="M153" s="97" t="n"/>
      <c r="N153" s="97" t="n"/>
      <c r="O153" s="97" t="n"/>
      <c r="P153" s="97" t="n"/>
    </row>
    <row r="154" ht="15.75" customHeight="1" s="105">
      <c r="B154" s="97" t="n"/>
      <c r="D154" s="97" t="n"/>
      <c r="E154" s="97" t="n"/>
      <c r="F154" s="97" t="n"/>
      <c r="G154" s="97" t="n"/>
      <c r="H154" s="97" t="n"/>
      <c r="I154" s="97" t="n"/>
      <c r="J154" s="97" t="n"/>
      <c r="K154" s="97" t="n"/>
      <c r="L154" s="97" t="n"/>
      <c r="M154" s="97" t="n"/>
      <c r="N154" s="97" t="n"/>
      <c r="O154" s="97" t="n"/>
      <c r="P154" s="97" t="n"/>
    </row>
    <row r="155" ht="15.75" customHeight="1" s="105">
      <c r="B155" s="97" t="n"/>
      <c r="D155" s="97" t="n"/>
      <c r="E155" s="97" t="n"/>
      <c r="F155" s="97" t="n"/>
      <c r="G155" s="97" t="n"/>
      <c r="H155" s="97" t="n"/>
      <c r="I155" s="97" t="n"/>
      <c r="J155" s="97" t="n"/>
      <c r="K155" s="97" t="n"/>
      <c r="L155" s="97" t="n"/>
      <c r="M155" s="97" t="n"/>
      <c r="N155" s="97" t="n"/>
      <c r="O155" s="97" t="n"/>
      <c r="P155" s="97" t="n"/>
    </row>
    <row r="156" ht="15.75" customHeight="1" s="105">
      <c r="B156" s="97" t="n"/>
      <c r="D156" s="97" t="n"/>
      <c r="E156" s="97" t="n"/>
      <c r="F156" s="97" t="n"/>
      <c r="G156" s="97" t="n"/>
      <c r="H156" s="97" t="n"/>
      <c r="I156" s="97" t="n"/>
      <c r="J156" s="97" t="n"/>
      <c r="K156" s="97" t="n"/>
      <c r="L156" s="97" t="n"/>
      <c r="M156" s="97" t="n"/>
      <c r="N156" s="97" t="n"/>
      <c r="O156" s="97" t="n"/>
      <c r="P156" s="97" t="n"/>
    </row>
    <row r="157" ht="15.75" customHeight="1" s="105">
      <c r="B157" s="97" t="n"/>
      <c r="D157" s="97" t="n"/>
      <c r="E157" s="97" t="n"/>
      <c r="F157" s="97" t="n"/>
      <c r="G157" s="97" t="n"/>
      <c r="H157" s="97" t="n"/>
      <c r="I157" s="97" t="n"/>
      <c r="J157" s="97" t="n"/>
      <c r="K157" s="97" t="n"/>
      <c r="L157" s="97" t="n"/>
      <c r="M157" s="97" t="n"/>
      <c r="N157" s="97" t="n"/>
      <c r="O157" s="97" t="n"/>
      <c r="P157" s="97" t="n"/>
    </row>
    <row r="158" ht="15.75" customHeight="1" s="105">
      <c r="B158" s="97" t="n"/>
      <c r="D158" s="97" t="n"/>
      <c r="E158" s="97" t="n"/>
      <c r="F158" s="97" t="n"/>
      <c r="G158" s="97" t="n"/>
      <c r="H158" s="97" t="n"/>
      <c r="I158" s="97" t="n"/>
      <c r="J158" s="97" t="n"/>
      <c r="K158" s="97" t="n"/>
      <c r="L158" s="97" t="n"/>
      <c r="M158" s="97" t="n"/>
      <c r="N158" s="97" t="n"/>
      <c r="O158" s="97" t="n"/>
      <c r="P158" s="97" t="n"/>
    </row>
    <row r="159" ht="15.75" customHeight="1" s="105">
      <c r="B159" s="97" t="n"/>
      <c r="D159" s="97" t="n"/>
      <c r="E159" s="97" t="n"/>
      <c r="F159" s="97" t="n"/>
      <c r="G159" s="97" t="n"/>
      <c r="H159" s="97" t="n"/>
      <c r="I159" s="97" t="n"/>
      <c r="J159" s="97" t="n"/>
      <c r="K159" s="97" t="n"/>
      <c r="L159" s="97" t="n"/>
      <c r="M159" s="97" t="n"/>
      <c r="N159" s="97" t="n"/>
      <c r="O159" s="97" t="n"/>
      <c r="P159" s="97" t="n"/>
    </row>
    <row r="160" ht="15.75" customHeight="1" s="105">
      <c r="B160" s="97" t="n"/>
      <c r="D160" s="97" t="n"/>
      <c r="E160" s="97" t="n"/>
      <c r="F160" s="97" t="n"/>
      <c r="G160" s="97" t="n"/>
      <c r="H160" s="97" t="n"/>
      <c r="I160" s="97" t="n"/>
      <c r="J160" s="97" t="n"/>
      <c r="K160" s="97" t="n"/>
      <c r="L160" s="97" t="n"/>
      <c r="M160" s="97" t="n"/>
      <c r="N160" s="97" t="n"/>
      <c r="O160" s="97" t="n"/>
      <c r="P160" s="97" t="n"/>
    </row>
    <row r="161" ht="15.75" customHeight="1" s="105">
      <c r="B161" s="97" t="n"/>
      <c r="D161" s="97" t="n"/>
      <c r="E161" s="97" t="n"/>
      <c r="F161" s="97" t="n"/>
      <c r="G161" s="97" t="n"/>
      <c r="H161" s="97" t="n"/>
      <c r="I161" s="97" t="n"/>
      <c r="J161" s="97" t="n"/>
      <c r="K161" s="97" t="n"/>
      <c r="L161" s="97" t="n"/>
      <c r="M161" s="97" t="n"/>
      <c r="N161" s="97" t="n"/>
      <c r="O161" s="97" t="n"/>
      <c r="P161" s="97" t="n"/>
    </row>
    <row r="162" ht="15.75" customHeight="1" s="105">
      <c r="B162" s="97" t="n"/>
      <c r="D162" s="97" t="n"/>
      <c r="E162" s="97" t="n"/>
      <c r="F162" s="97" t="n"/>
      <c r="G162" s="97" t="n"/>
      <c r="H162" s="97" t="n"/>
      <c r="I162" s="97" t="n"/>
      <c r="J162" s="97" t="n"/>
      <c r="K162" s="97" t="n"/>
      <c r="L162" s="97" t="n"/>
      <c r="M162" s="97" t="n"/>
      <c r="N162" s="97" t="n"/>
      <c r="O162" s="97" t="n"/>
      <c r="P162" s="97" t="n"/>
    </row>
    <row r="163" ht="15.75" customHeight="1" s="105">
      <c r="B163" s="97" t="n"/>
      <c r="D163" s="97" t="n"/>
      <c r="E163" s="97" t="n"/>
      <c r="F163" s="97" t="n"/>
      <c r="G163" s="97" t="n"/>
      <c r="H163" s="97" t="n"/>
      <c r="I163" s="97" t="n"/>
      <c r="J163" s="97" t="n"/>
      <c r="K163" s="97" t="n"/>
      <c r="L163" s="97" t="n"/>
      <c r="M163" s="97" t="n"/>
      <c r="N163" s="97" t="n"/>
      <c r="O163" s="97" t="n"/>
      <c r="P163" s="97" t="n"/>
    </row>
    <row r="164" ht="15.75" customHeight="1" s="105">
      <c r="B164" s="97" t="n"/>
      <c r="D164" s="97" t="n"/>
      <c r="E164" s="97" t="n"/>
      <c r="F164" s="97" t="n"/>
      <c r="G164" s="97" t="n"/>
      <c r="H164" s="97" t="n"/>
      <c r="I164" s="97" t="n"/>
      <c r="J164" s="97" t="n"/>
      <c r="K164" s="97" t="n"/>
      <c r="L164" s="97" t="n"/>
      <c r="M164" s="97" t="n"/>
      <c r="N164" s="97" t="n"/>
      <c r="O164" s="97" t="n"/>
      <c r="P164" s="97" t="n"/>
    </row>
    <row r="165" ht="15.75" customHeight="1" s="105">
      <c r="B165" s="97" t="n"/>
      <c r="D165" s="97" t="n"/>
      <c r="E165" s="97" t="n"/>
      <c r="F165" s="97" t="n"/>
      <c r="G165" s="97" t="n"/>
      <c r="H165" s="97" t="n"/>
      <c r="I165" s="97" t="n"/>
      <c r="J165" s="97" t="n"/>
      <c r="K165" s="97" t="n"/>
      <c r="L165" s="97" t="n"/>
      <c r="M165" s="97" t="n"/>
      <c r="N165" s="97" t="n"/>
      <c r="O165" s="97" t="n"/>
      <c r="P165" s="97" t="n"/>
    </row>
    <row r="166" ht="15.75" customHeight="1" s="105">
      <c r="B166" s="97" t="n"/>
      <c r="D166" s="97" t="n"/>
      <c r="E166" s="97" t="n"/>
      <c r="F166" s="97" t="n"/>
      <c r="G166" s="97" t="n"/>
      <c r="H166" s="97" t="n"/>
      <c r="I166" s="97" t="n"/>
      <c r="J166" s="97" t="n"/>
      <c r="K166" s="97" t="n"/>
      <c r="L166" s="97" t="n"/>
      <c r="M166" s="97" t="n"/>
      <c r="N166" s="97" t="n"/>
      <c r="O166" s="97" t="n"/>
      <c r="P166" s="97" t="n"/>
    </row>
    <row r="167" ht="15.75" customHeight="1" s="105">
      <c r="B167" s="97" t="n"/>
      <c r="D167" s="97" t="n"/>
      <c r="E167" s="97" t="n"/>
      <c r="F167" s="97" t="n"/>
      <c r="G167" s="97" t="n"/>
      <c r="H167" s="97" t="n"/>
      <c r="I167" s="97" t="n"/>
      <c r="J167" s="97" t="n"/>
      <c r="K167" s="97" t="n"/>
      <c r="L167" s="97" t="n"/>
      <c r="M167" s="97" t="n"/>
      <c r="N167" s="97" t="n"/>
      <c r="O167" s="97" t="n"/>
      <c r="P167" s="97" t="n"/>
    </row>
    <row r="168" ht="15.75" customHeight="1" s="105">
      <c r="B168" s="97" t="n"/>
      <c r="D168" s="97" t="n"/>
      <c r="E168" s="97" t="n"/>
      <c r="F168" s="97" t="n"/>
      <c r="G168" s="97" t="n"/>
      <c r="H168" s="97" t="n"/>
      <c r="I168" s="97" t="n"/>
      <c r="J168" s="97" t="n"/>
      <c r="K168" s="97" t="n"/>
      <c r="L168" s="97" t="n"/>
      <c r="M168" s="97" t="n"/>
      <c r="N168" s="97" t="n"/>
      <c r="O168" s="97" t="n"/>
      <c r="P168" s="97" t="n"/>
    </row>
    <row r="169" ht="15.75" customHeight="1" s="105">
      <c r="B169" s="97" t="n"/>
      <c r="D169" s="97" t="n"/>
      <c r="E169" s="97" t="n"/>
      <c r="F169" s="97" t="n"/>
      <c r="G169" s="97" t="n"/>
      <c r="H169" s="97" t="n"/>
      <c r="I169" s="97" t="n"/>
      <c r="J169" s="97" t="n"/>
      <c r="K169" s="97" t="n"/>
      <c r="L169" s="97" t="n"/>
      <c r="M169" s="97" t="n"/>
      <c r="N169" s="97" t="n"/>
      <c r="O169" s="97" t="n"/>
      <c r="P169" s="97" t="n"/>
    </row>
    <row r="170" ht="15.75" customHeight="1" s="105">
      <c r="B170" s="97" t="n"/>
      <c r="D170" s="97" t="n"/>
      <c r="E170" s="97" t="n"/>
      <c r="F170" s="97" t="n"/>
      <c r="G170" s="97" t="n"/>
      <c r="H170" s="97" t="n"/>
      <c r="I170" s="97" t="n"/>
      <c r="J170" s="97" t="n"/>
      <c r="K170" s="97" t="n"/>
      <c r="L170" s="97" t="n"/>
      <c r="M170" s="97" t="n"/>
      <c r="N170" s="97" t="n"/>
      <c r="O170" s="97" t="n"/>
      <c r="P170" s="97" t="n"/>
    </row>
    <row r="171" ht="15.75" customHeight="1" s="105">
      <c r="B171" s="97" t="n"/>
      <c r="D171" s="97" t="n"/>
      <c r="E171" s="97" t="n"/>
      <c r="F171" s="97" t="n"/>
      <c r="G171" s="97" t="n"/>
      <c r="H171" s="97" t="n"/>
      <c r="I171" s="97" t="n"/>
      <c r="J171" s="97" t="n"/>
      <c r="K171" s="97" t="n"/>
      <c r="L171" s="97" t="n"/>
      <c r="M171" s="97" t="n"/>
      <c r="N171" s="97" t="n"/>
      <c r="O171" s="97" t="n"/>
      <c r="P171" s="97" t="n"/>
    </row>
    <row r="172" ht="15.75" customHeight="1" s="105">
      <c r="B172" s="97" t="n"/>
      <c r="D172" s="97" t="n"/>
      <c r="E172" s="97" t="n"/>
      <c r="F172" s="97" t="n"/>
      <c r="G172" s="97" t="n"/>
      <c r="H172" s="97" t="n"/>
      <c r="I172" s="97" t="n"/>
      <c r="J172" s="97" t="n"/>
      <c r="K172" s="97" t="n"/>
      <c r="L172" s="97" t="n"/>
      <c r="M172" s="97" t="n"/>
      <c r="N172" s="97" t="n"/>
      <c r="O172" s="97" t="n"/>
      <c r="P172" s="97" t="n"/>
    </row>
    <row r="173" ht="15.75" customHeight="1" s="105">
      <c r="B173" s="97" t="n"/>
      <c r="D173" s="97" t="n"/>
      <c r="E173" s="97" t="n"/>
      <c r="F173" s="97" t="n"/>
      <c r="G173" s="97" t="n"/>
      <c r="H173" s="97" t="n"/>
      <c r="I173" s="97" t="n"/>
      <c r="J173" s="97" t="n"/>
      <c r="K173" s="97" t="n"/>
      <c r="L173" s="97" t="n"/>
      <c r="M173" s="97" t="n"/>
      <c r="N173" s="97" t="n"/>
      <c r="O173" s="97" t="n"/>
      <c r="P173" s="97" t="n"/>
    </row>
    <row r="174" ht="15.75" customHeight="1" s="105">
      <c r="B174" s="97" t="n"/>
      <c r="D174" s="97" t="n"/>
      <c r="E174" s="97" t="n"/>
      <c r="F174" s="97" t="n"/>
      <c r="G174" s="97" t="n"/>
      <c r="H174" s="97" t="n"/>
      <c r="I174" s="97" t="n"/>
      <c r="J174" s="97" t="n"/>
      <c r="K174" s="97" t="n"/>
      <c r="L174" s="97" t="n"/>
      <c r="M174" s="97" t="n"/>
      <c r="N174" s="97" t="n"/>
      <c r="O174" s="97" t="n"/>
      <c r="P174" s="97" t="n"/>
    </row>
    <row r="175" ht="15.75" customHeight="1" s="105">
      <c r="B175" s="97" t="n"/>
      <c r="D175" s="97" t="n"/>
      <c r="E175" s="97" t="n"/>
      <c r="F175" s="97" t="n"/>
      <c r="G175" s="97" t="n"/>
      <c r="H175" s="97" t="n"/>
      <c r="I175" s="97" t="n"/>
      <c r="J175" s="97" t="n"/>
      <c r="K175" s="97" t="n"/>
      <c r="L175" s="97" t="n"/>
      <c r="M175" s="97" t="n"/>
      <c r="N175" s="97" t="n"/>
      <c r="O175" s="97" t="n"/>
      <c r="P175" s="97" t="n"/>
    </row>
    <row r="176" ht="15.75" customHeight="1" s="105">
      <c r="B176" s="97" t="n"/>
      <c r="D176" s="97" t="n"/>
      <c r="E176" s="97" t="n"/>
      <c r="F176" s="97" t="n"/>
      <c r="G176" s="97" t="n"/>
      <c r="H176" s="97" t="n"/>
      <c r="I176" s="97" t="n"/>
      <c r="J176" s="97" t="n"/>
      <c r="K176" s="97" t="n"/>
      <c r="L176" s="97" t="n"/>
      <c r="M176" s="97" t="n"/>
      <c r="N176" s="97" t="n"/>
      <c r="O176" s="97" t="n"/>
      <c r="P176" s="97" t="n"/>
    </row>
    <row r="177" ht="15.75" customHeight="1" s="105">
      <c r="B177" s="97" t="n"/>
      <c r="D177" s="97" t="n"/>
      <c r="E177" s="97" t="n"/>
      <c r="F177" s="97" t="n"/>
      <c r="G177" s="97" t="n"/>
      <c r="H177" s="97" t="n"/>
      <c r="I177" s="97" t="n"/>
      <c r="J177" s="97" t="n"/>
      <c r="K177" s="97" t="n"/>
      <c r="L177" s="97" t="n"/>
      <c r="M177" s="97" t="n"/>
      <c r="N177" s="97" t="n"/>
      <c r="O177" s="97" t="n"/>
      <c r="P177" s="97" t="n"/>
    </row>
    <row r="178" ht="15.75" customHeight="1" s="105">
      <c r="B178" s="97" t="n"/>
      <c r="D178" s="97" t="n"/>
      <c r="E178" s="97" t="n"/>
      <c r="F178" s="97" t="n"/>
      <c r="G178" s="97" t="n"/>
      <c r="H178" s="97" t="n"/>
      <c r="I178" s="97" t="n"/>
      <c r="J178" s="97" t="n"/>
      <c r="K178" s="97" t="n"/>
      <c r="L178" s="97" t="n"/>
      <c r="M178" s="97" t="n"/>
      <c r="N178" s="97" t="n"/>
      <c r="O178" s="97" t="n"/>
      <c r="P178" s="97" t="n"/>
    </row>
    <row r="179" ht="15.75" customHeight="1" s="105">
      <c r="B179" s="97" t="n"/>
      <c r="D179" s="97" t="n"/>
      <c r="E179" s="97" t="n"/>
      <c r="F179" s="97" t="n"/>
      <c r="G179" s="97" t="n"/>
      <c r="H179" s="97" t="n"/>
      <c r="I179" s="97" t="n"/>
      <c r="J179" s="97" t="n"/>
      <c r="K179" s="97" t="n"/>
      <c r="L179" s="97" t="n"/>
      <c r="M179" s="97" t="n"/>
      <c r="N179" s="97" t="n"/>
      <c r="O179" s="97" t="n"/>
      <c r="P179" s="97" t="n"/>
    </row>
    <row r="180" ht="15.75" customHeight="1" s="105">
      <c r="B180" s="97" t="n"/>
      <c r="D180" s="97" t="n"/>
      <c r="E180" s="97" t="n"/>
      <c r="F180" s="97" t="n"/>
      <c r="G180" s="97" t="n"/>
      <c r="H180" s="97" t="n"/>
      <c r="I180" s="97" t="n"/>
      <c r="J180" s="97" t="n"/>
      <c r="K180" s="97" t="n"/>
      <c r="L180" s="97" t="n"/>
      <c r="M180" s="97" t="n"/>
      <c r="N180" s="97" t="n"/>
      <c r="O180" s="97" t="n"/>
      <c r="P180" s="97" t="n"/>
    </row>
    <row r="181" ht="15.75" customHeight="1" s="105">
      <c r="B181" s="97" t="n"/>
      <c r="D181" s="97" t="n"/>
      <c r="E181" s="97" t="n"/>
      <c r="F181" s="97" t="n"/>
      <c r="G181" s="97" t="n"/>
      <c r="H181" s="97" t="n"/>
      <c r="I181" s="97" t="n"/>
      <c r="J181" s="97" t="n"/>
      <c r="K181" s="97" t="n"/>
      <c r="L181" s="97" t="n"/>
      <c r="M181" s="97" t="n"/>
      <c r="N181" s="97" t="n"/>
      <c r="O181" s="97" t="n"/>
      <c r="P181" s="97" t="n"/>
    </row>
    <row r="182" ht="15.75" customHeight="1" s="105">
      <c r="B182" s="97" t="n"/>
      <c r="D182" s="97" t="n"/>
      <c r="E182" s="97" t="n"/>
      <c r="F182" s="97" t="n"/>
      <c r="G182" s="97" t="n"/>
      <c r="H182" s="97" t="n"/>
      <c r="I182" s="97" t="n"/>
      <c r="J182" s="97" t="n"/>
      <c r="K182" s="97" t="n"/>
      <c r="L182" s="97" t="n"/>
      <c r="M182" s="97" t="n"/>
      <c r="N182" s="97" t="n"/>
      <c r="O182" s="97" t="n"/>
      <c r="P182" s="97" t="n"/>
    </row>
    <row r="183" ht="15.75" customHeight="1" s="105">
      <c r="B183" s="97" t="n"/>
      <c r="D183" s="97" t="n"/>
      <c r="E183" s="97" t="n"/>
      <c r="F183" s="97" t="n"/>
      <c r="G183" s="97" t="n"/>
      <c r="H183" s="97" t="n"/>
      <c r="I183" s="97" t="n"/>
      <c r="J183" s="97" t="n"/>
      <c r="K183" s="97" t="n"/>
      <c r="L183" s="97" t="n"/>
      <c r="M183" s="97" t="n"/>
      <c r="N183" s="97" t="n"/>
      <c r="O183" s="97" t="n"/>
      <c r="P183" s="97" t="n"/>
    </row>
    <row r="184" ht="15.75" customHeight="1" s="105">
      <c r="B184" s="97" t="n"/>
      <c r="D184" s="97" t="n"/>
      <c r="E184" s="97" t="n"/>
      <c r="F184" s="97" t="n"/>
      <c r="G184" s="97" t="n"/>
      <c r="H184" s="97" t="n"/>
      <c r="I184" s="97" t="n"/>
      <c r="J184" s="97" t="n"/>
      <c r="K184" s="97" t="n"/>
      <c r="L184" s="97" t="n"/>
      <c r="M184" s="97" t="n"/>
      <c r="N184" s="97" t="n"/>
      <c r="O184" s="97" t="n"/>
      <c r="P184" s="97" t="n"/>
    </row>
    <row r="185" ht="15.75" customHeight="1" s="105">
      <c r="B185" s="97" t="n"/>
      <c r="D185" s="97" t="n"/>
      <c r="E185" s="97" t="n"/>
      <c r="F185" s="97" t="n"/>
      <c r="G185" s="97" t="n"/>
      <c r="H185" s="97" t="n"/>
      <c r="I185" s="97" t="n"/>
      <c r="J185" s="97" t="n"/>
      <c r="K185" s="97" t="n"/>
      <c r="L185" s="97" t="n"/>
      <c r="M185" s="97" t="n"/>
      <c r="N185" s="97" t="n"/>
      <c r="O185" s="97" t="n"/>
      <c r="P185" s="97" t="n"/>
    </row>
    <row r="186" ht="15.75" customHeight="1" s="105">
      <c r="B186" s="97" t="n"/>
      <c r="D186" s="97" t="n"/>
      <c r="E186" s="97" t="n"/>
      <c r="F186" s="97" t="n"/>
      <c r="G186" s="97" t="n"/>
      <c r="H186" s="97" t="n"/>
      <c r="I186" s="97" t="n"/>
      <c r="J186" s="97" t="n"/>
      <c r="K186" s="97" t="n"/>
      <c r="L186" s="97" t="n"/>
      <c r="M186" s="97" t="n"/>
      <c r="N186" s="97" t="n"/>
      <c r="O186" s="97" t="n"/>
      <c r="P186" s="97" t="n"/>
    </row>
    <row r="187" ht="15.75" customHeight="1" s="105">
      <c r="B187" s="97" t="n"/>
      <c r="D187" s="97" t="n"/>
      <c r="E187" s="97" t="n"/>
      <c r="F187" s="97" t="n"/>
      <c r="G187" s="97" t="n"/>
      <c r="H187" s="97" t="n"/>
      <c r="I187" s="97" t="n"/>
      <c r="J187" s="97" t="n"/>
      <c r="K187" s="97" t="n"/>
      <c r="L187" s="97" t="n"/>
      <c r="M187" s="97" t="n"/>
      <c r="N187" s="97" t="n"/>
      <c r="O187" s="97" t="n"/>
      <c r="P187" s="97" t="n"/>
    </row>
    <row r="188" ht="15.75" customHeight="1" s="105">
      <c r="B188" s="97" t="n"/>
      <c r="D188" s="97" t="n"/>
      <c r="E188" s="97" t="n"/>
      <c r="F188" s="97" t="n"/>
      <c r="G188" s="97" t="n"/>
      <c r="H188" s="97" t="n"/>
      <c r="I188" s="97" t="n"/>
      <c r="J188" s="97" t="n"/>
      <c r="K188" s="97" t="n"/>
      <c r="L188" s="97" t="n"/>
      <c r="M188" s="97" t="n"/>
      <c r="N188" s="97" t="n"/>
      <c r="O188" s="97" t="n"/>
      <c r="P188" s="97" t="n"/>
    </row>
    <row r="189" ht="15.75" customHeight="1" s="105">
      <c r="B189" s="97" t="n"/>
      <c r="D189" s="97" t="n"/>
      <c r="E189" s="97" t="n"/>
      <c r="F189" s="97" t="n"/>
      <c r="G189" s="97" t="n"/>
      <c r="H189" s="97" t="n"/>
      <c r="I189" s="97" t="n"/>
      <c r="J189" s="97" t="n"/>
      <c r="K189" s="97" t="n"/>
      <c r="L189" s="97" t="n"/>
      <c r="M189" s="97" t="n"/>
      <c r="N189" s="97" t="n"/>
      <c r="O189" s="97" t="n"/>
      <c r="P189" s="97" t="n"/>
    </row>
    <row r="190" ht="15.75" customHeight="1" s="105">
      <c r="B190" s="97" t="n"/>
      <c r="D190" s="97" t="n"/>
      <c r="E190" s="97" t="n"/>
      <c r="F190" s="97" t="n"/>
      <c r="G190" s="97" t="n"/>
      <c r="H190" s="97" t="n"/>
      <c r="I190" s="97" t="n"/>
      <c r="J190" s="97" t="n"/>
      <c r="K190" s="97" t="n"/>
      <c r="L190" s="97" t="n"/>
      <c r="M190" s="97" t="n"/>
      <c r="N190" s="97" t="n"/>
      <c r="O190" s="97" t="n"/>
      <c r="P190" s="97" t="n"/>
    </row>
    <row r="191" ht="15.75" customHeight="1" s="105">
      <c r="B191" s="97" t="n"/>
      <c r="D191" s="97" t="n"/>
      <c r="E191" s="97" t="n"/>
      <c r="F191" s="97" t="n"/>
      <c r="G191" s="97" t="n"/>
      <c r="H191" s="97" t="n"/>
      <c r="I191" s="97" t="n"/>
      <c r="J191" s="97" t="n"/>
      <c r="K191" s="97" t="n"/>
      <c r="L191" s="97" t="n"/>
      <c r="M191" s="97" t="n"/>
      <c r="N191" s="97" t="n"/>
      <c r="O191" s="97" t="n"/>
      <c r="P191" s="97" t="n"/>
    </row>
    <row r="192" ht="15.75" customHeight="1" s="105">
      <c r="B192" s="97" t="n"/>
      <c r="D192" s="97" t="n"/>
      <c r="E192" s="97" t="n"/>
      <c r="F192" s="97" t="n"/>
      <c r="G192" s="97" t="n"/>
      <c r="H192" s="97" t="n"/>
      <c r="I192" s="97" t="n"/>
      <c r="J192" s="97" t="n"/>
      <c r="K192" s="97" t="n"/>
      <c r="L192" s="97" t="n"/>
      <c r="M192" s="97" t="n"/>
      <c r="N192" s="97" t="n"/>
      <c r="O192" s="97" t="n"/>
      <c r="P192" s="97" t="n"/>
    </row>
    <row r="193" ht="15.75" customHeight="1" s="105">
      <c r="B193" s="97" t="n"/>
      <c r="D193" s="97" t="n"/>
      <c r="E193" s="97" t="n"/>
      <c r="F193" s="97" t="n"/>
      <c r="G193" s="97" t="n"/>
      <c r="H193" s="97" t="n"/>
      <c r="I193" s="97" t="n"/>
      <c r="J193" s="97" t="n"/>
      <c r="K193" s="97" t="n"/>
      <c r="L193" s="97" t="n"/>
      <c r="M193" s="97" t="n"/>
      <c r="N193" s="97" t="n"/>
      <c r="O193" s="97" t="n"/>
      <c r="P193" s="97" t="n"/>
    </row>
    <row r="194" ht="15.75" customHeight="1" s="105">
      <c r="B194" s="97" t="n"/>
      <c r="D194" s="97" t="n"/>
      <c r="E194" s="97" t="n"/>
      <c r="F194" s="97" t="n"/>
      <c r="G194" s="97" t="n"/>
      <c r="H194" s="97" t="n"/>
      <c r="I194" s="97" t="n"/>
      <c r="J194" s="97" t="n"/>
      <c r="K194" s="97" t="n"/>
      <c r="L194" s="97" t="n"/>
      <c r="M194" s="97" t="n"/>
      <c r="N194" s="97" t="n"/>
      <c r="O194" s="97" t="n"/>
      <c r="P194" s="97" t="n"/>
    </row>
    <row r="195" ht="15.75" customHeight="1" s="105">
      <c r="B195" s="97" t="n"/>
      <c r="D195" s="97" t="n"/>
      <c r="E195" s="97" t="n"/>
      <c r="F195" s="97" t="n"/>
      <c r="G195" s="97" t="n"/>
      <c r="H195" s="97" t="n"/>
      <c r="I195" s="97" t="n"/>
      <c r="J195" s="97" t="n"/>
      <c r="K195" s="97" t="n"/>
      <c r="L195" s="97" t="n"/>
      <c r="M195" s="97" t="n"/>
      <c r="N195" s="97" t="n"/>
      <c r="O195" s="97" t="n"/>
      <c r="P195" s="97" t="n"/>
    </row>
    <row r="196" ht="15.75" customHeight="1" s="105">
      <c r="B196" s="97" t="n"/>
      <c r="D196" s="97" t="n"/>
      <c r="E196" s="97" t="n"/>
      <c r="F196" s="97" t="n"/>
      <c r="G196" s="97" t="n"/>
      <c r="H196" s="97" t="n"/>
      <c r="I196" s="97" t="n"/>
      <c r="J196" s="97" t="n"/>
      <c r="K196" s="97" t="n"/>
      <c r="L196" s="97" t="n"/>
      <c r="M196" s="97" t="n"/>
      <c r="N196" s="97" t="n"/>
      <c r="O196" s="97" t="n"/>
      <c r="P196" s="97" t="n"/>
    </row>
    <row r="197" ht="15.75" customHeight="1" s="105">
      <c r="B197" s="97" t="n"/>
      <c r="D197" s="97" t="n"/>
      <c r="E197" s="97" t="n"/>
      <c r="F197" s="97" t="n"/>
      <c r="G197" s="97" t="n"/>
      <c r="H197" s="97" t="n"/>
      <c r="I197" s="97" t="n"/>
      <c r="J197" s="97" t="n"/>
      <c r="K197" s="97" t="n"/>
      <c r="L197" s="97" t="n"/>
      <c r="M197" s="97" t="n"/>
      <c r="N197" s="97" t="n"/>
      <c r="O197" s="97" t="n"/>
      <c r="P197" s="97" t="n"/>
    </row>
    <row r="198" ht="15.75" customHeight="1" s="105">
      <c r="B198" s="97" t="n"/>
      <c r="D198" s="97" t="n"/>
      <c r="E198" s="97" t="n"/>
      <c r="F198" s="97" t="n"/>
      <c r="G198" s="97" t="n"/>
      <c r="H198" s="97" t="n"/>
      <c r="I198" s="97" t="n"/>
      <c r="J198" s="97" t="n"/>
      <c r="K198" s="97" t="n"/>
      <c r="L198" s="97" t="n"/>
      <c r="M198" s="97" t="n"/>
      <c r="N198" s="97" t="n"/>
      <c r="O198" s="97" t="n"/>
      <c r="P198" s="97" t="n"/>
    </row>
    <row r="199" ht="15.75" customHeight="1" s="105">
      <c r="B199" s="97" t="n"/>
      <c r="D199" s="97" t="n"/>
      <c r="E199" s="97" t="n"/>
      <c r="F199" s="97" t="n"/>
      <c r="G199" s="97" t="n"/>
      <c r="H199" s="97" t="n"/>
      <c r="I199" s="97" t="n"/>
      <c r="J199" s="97" t="n"/>
      <c r="K199" s="97" t="n"/>
      <c r="L199" s="97" t="n"/>
      <c r="M199" s="97" t="n"/>
      <c r="N199" s="97" t="n"/>
      <c r="O199" s="97" t="n"/>
      <c r="P199" s="97" t="n"/>
    </row>
    <row r="200" ht="15.75" customHeight="1" s="105">
      <c r="B200" s="97" t="n"/>
      <c r="D200" s="97" t="n"/>
      <c r="E200" s="97" t="n"/>
      <c r="F200" s="97" t="n"/>
      <c r="G200" s="97" t="n"/>
      <c r="H200" s="97" t="n"/>
      <c r="I200" s="97" t="n"/>
      <c r="J200" s="97" t="n"/>
      <c r="K200" s="97" t="n"/>
      <c r="L200" s="97" t="n"/>
      <c r="M200" s="97" t="n"/>
      <c r="N200" s="97" t="n"/>
      <c r="O200" s="97" t="n"/>
      <c r="P200" s="97" t="n"/>
    </row>
    <row r="201" ht="15.75" customHeight="1" s="105">
      <c r="B201" s="97" t="n"/>
      <c r="D201" s="97" t="n"/>
      <c r="E201" s="97" t="n"/>
      <c r="F201" s="97" t="n"/>
      <c r="G201" s="97" t="n"/>
      <c r="H201" s="97" t="n"/>
      <c r="I201" s="97" t="n"/>
      <c r="J201" s="97" t="n"/>
      <c r="K201" s="97" t="n"/>
      <c r="L201" s="97" t="n"/>
      <c r="M201" s="97" t="n"/>
      <c r="N201" s="97" t="n"/>
      <c r="O201" s="97" t="n"/>
      <c r="P201" s="97" t="n"/>
    </row>
    <row r="202" ht="15.75" customHeight="1" s="105">
      <c r="B202" s="97" t="n"/>
      <c r="D202" s="97" t="n"/>
      <c r="E202" s="97" t="n"/>
      <c r="F202" s="97" t="n"/>
      <c r="G202" s="97" t="n"/>
      <c r="H202" s="97" t="n"/>
      <c r="I202" s="97" t="n"/>
      <c r="J202" s="97" t="n"/>
      <c r="K202" s="97" t="n"/>
      <c r="L202" s="97" t="n"/>
      <c r="M202" s="97" t="n"/>
      <c r="N202" s="97" t="n"/>
      <c r="O202" s="97" t="n"/>
      <c r="P202" s="97" t="n"/>
    </row>
    <row r="203" ht="15.75" customHeight="1" s="105">
      <c r="B203" s="97" t="n"/>
      <c r="D203" s="97" t="n"/>
      <c r="E203" s="97" t="n"/>
      <c r="F203" s="97" t="n"/>
      <c r="G203" s="97" t="n"/>
      <c r="H203" s="97" t="n"/>
      <c r="I203" s="97" t="n"/>
      <c r="J203" s="97" t="n"/>
      <c r="K203" s="97" t="n"/>
      <c r="L203" s="97" t="n"/>
      <c r="M203" s="97" t="n"/>
      <c r="N203" s="97" t="n"/>
      <c r="O203" s="97" t="n"/>
      <c r="P203" s="97" t="n"/>
    </row>
    <row r="204" ht="15.75" customHeight="1" s="105">
      <c r="B204" s="97" t="n"/>
      <c r="D204" s="97" t="n"/>
      <c r="E204" s="97" t="n"/>
      <c r="F204" s="97" t="n"/>
      <c r="G204" s="97" t="n"/>
      <c r="H204" s="97" t="n"/>
      <c r="I204" s="97" t="n"/>
      <c r="J204" s="97" t="n"/>
      <c r="K204" s="97" t="n"/>
      <c r="L204" s="97" t="n"/>
      <c r="M204" s="97" t="n"/>
      <c r="N204" s="97" t="n"/>
      <c r="O204" s="97" t="n"/>
      <c r="P204" s="97" t="n"/>
    </row>
    <row r="205" ht="15.75" customHeight="1" s="105">
      <c r="B205" s="97" t="n"/>
      <c r="D205" s="97" t="n"/>
      <c r="E205" s="97" t="n"/>
      <c r="F205" s="97" t="n"/>
      <c r="G205" s="97" t="n"/>
      <c r="H205" s="97" t="n"/>
      <c r="I205" s="97" t="n"/>
      <c r="J205" s="97" t="n"/>
      <c r="K205" s="97" t="n"/>
      <c r="L205" s="97" t="n"/>
      <c r="M205" s="97" t="n"/>
      <c r="N205" s="97" t="n"/>
      <c r="O205" s="97" t="n"/>
      <c r="P205" s="97" t="n"/>
    </row>
    <row r="206" ht="15.75" customHeight="1" s="105">
      <c r="B206" s="97" t="n"/>
      <c r="D206" s="97" t="n"/>
      <c r="E206" s="97" t="n"/>
      <c r="F206" s="97" t="n"/>
      <c r="G206" s="97" t="n"/>
      <c r="H206" s="97" t="n"/>
      <c r="I206" s="97" t="n"/>
      <c r="J206" s="97" t="n"/>
      <c r="K206" s="97" t="n"/>
      <c r="L206" s="97" t="n"/>
      <c r="M206" s="97" t="n"/>
      <c r="N206" s="97" t="n"/>
      <c r="O206" s="97" t="n"/>
      <c r="P206" s="97" t="n"/>
    </row>
    <row r="207" ht="15.75" customHeight="1" s="105">
      <c r="B207" s="97" t="n"/>
      <c r="D207" s="97" t="n"/>
      <c r="E207" s="97" t="n"/>
      <c r="F207" s="97" t="n"/>
      <c r="G207" s="97" t="n"/>
      <c r="H207" s="97" t="n"/>
      <c r="I207" s="97" t="n"/>
      <c r="J207" s="97" t="n"/>
      <c r="K207" s="97" t="n"/>
      <c r="L207" s="97" t="n"/>
      <c r="M207" s="97" t="n"/>
      <c r="N207" s="97" t="n"/>
      <c r="O207" s="97" t="n"/>
      <c r="P207" s="97" t="n"/>
    </row>
    <row r="208" ht="15.75" customHeight="1" s="105">
      <c r="B208" s="97" t="n"/>
      <c r="D208" s="97" t="n"/>
      <c r="E208" s="97" t="n"/>
      <c r="F208" s="97" t="n"/>
      <c r="G208" s="97" t="n"/>
      <c r="H208" s="97" t="n"/>
      <c r="I208" s="97" t="n"/>
      <c r="J208" s="97" t="n"/>
      <c r="K208" s="97" t="n"/>
      <c r="L208" s="97" t="n"/>
      <c r="M208" s="97" t="n"/>
      <c r="N208" s="97" t="n"/>
      <c r="O208" s="97" t="n"/>
      <c r="P208" s="97" t="n"/>
    </row>
    <row r="209" ht="15.75" customHeight="1" s="105">
      <c r="B209" s="97" t="n"/>
      <c r="D209" s="97" t="n"/>
      <c r="E209" s="97" t="n"/>
      <c r="F209" s="97" t="n"/>
      <c r="G209" s="97" t="n"/>
      <c r="H209" s="97" t="n"/>
      <c r="I209" s="97" t="n"/>
      <c r="J209" s="97" t="n"/>
      <c r="K209" s="97" t="n"/>
      <c r="L209" s="97" t="n"/>
      <c r="M209" s="97" t="n"/>
      <c r="N209" s="97" t="n"/>
      <c r="O209" s="97" t="n"/>
      <c r="P209" s="97" t="n"/>
    </row>
    <row r="210" ht="15.75" customHeight="1" s="105">
      <c r="B210" s="97" t="n"/>
      <c r="D210" s="97" t="n"/>
      <c r="E210" s="97" t="n"/>
      <c r="F210" s="97" t="n"/>
      <c r="G210" s="97" t="n"/>
      <c r="H210" s="97" t="n"/>
      <c r="I210" s="97" t="n"/>
      <c r="J210" s="97" t="n"/>
      <c r="K210" s="97" t="n"/>
      <c r="L210" s="97" t="n"/>
      <c r="M210" s="97" t="n"/>
      <c r="N210" s="97" t="n"/>
      <c r="O210" s="97" t="n"/>
      <c r="P210" s="97" t="n"/>
    </row>
    <row r="211" ht="15.75" customHeight="1" s="105">
      <c r="B211" s="97" t="n"/>
      <c r="D211" s="97" t="n"/>
      <c r="E211" s="97" t="n"/>
      <c r="F211" s="97" t="n"/>
      <c r="G211" s="97" t="n"/>
      <c r="H211" s="97" t="n"/>
      <c r="I211" s="97" t="n"/>
      <c r="J211" s="97" t="n"/>
      <c r="K211" s="97" t="n"/>
      <c r="L211" s="97" t="n"/>
      <c r="M211" s="97" t="n"/>
      <c r="N211" s="97" t="n"/>
      <c r="O211" s="97" t="n"/>
      <c r="P211" s="97" t="n"/>
    </row>
    <row r="212" ht="15.75" customHeight="1" s="105">
      <c r="B212" s="97" t="n"/>
      <c r="D212" s="97" t="n"/>
      <c r="E212" s="97" t="n"/>
      <c r="F212" s="97" t="n"/>
      <c r="G212" s="97" t="n"/>
      <c r="H212" s="97" t="n"/>
      <c r="I212" s="97" t="n"/>
      <c r="J212" s="97" t="n"/>
      <c r="K212" s="97" t="n"/>
      <c r="L212" s="97" t="n"/>
      <c r="M212" s="97" t="n"/>
      <c r="N212" s="97" t="n"/>
      <c r="O212" s="97" t="n"/>
      <c r="P212" s="97" t="n"/>
    </row>
    <row r="213" ht="15.75" customHeight="1" s="105">
      <c r="B213" s="97" t="n"/>
      <c r="D213" s="97" t="n"/>
      <c r="E213" s="97" t="n"/>
      <c r="F213" s="97" t="n"/>
      <c r="G213" s="97" t="n"/>
      <c r="H213" s="97" t="n"/>
      <c r="I213" s="97" t="n"/>
      <c r="J213" s="97" t="n"/>
      <c r="K213" s="97" t="n"/>
      <c r="L213" s="97" t="n"/>
      <c r="M213" s="97" t="n"/>
      <c r="N213" s="97" t="n"/>
      <c r="O213" s="97" t="n"/>
      <c r="P213" s="97" t="n"/>
    </row>
    <row r="214" ht="15.75" customHeight="1" s="105">
      <c r="B214" s="97" t="n"/>
      <c r="D214" s="97" t="n"/>
      <c r="E214" s="97" t="n"/>
      <c r="F214" s="97" t="n"/>
      <c r="G214" s="97" t="n"/>
      <c r="H214" s="97" t="n"/>
      <c r="I214" s="97" t="n"/>
      <c r="J214" s="97" t="n"/>
      <c r="K214" s="97" t="n"/>
      <c r="L214" s="97" t="n"/>
      <c r="M214" s="97" t="n"/>
      <c r="N214" s="97" t="n"/>
      <c r="O214" s="97" t="n"/>
      <c r="P214" s="97" t="n"/>
    </row>
    <row r="215" ht="15.75" customHeight="1" s="105">
      <c r="B215" s="97" t="n"/>
      <c r="D215" s="97" t="n"/>
      <c r="E215" s="97" t="n"/>
      <c r="F215" s="97" t="n"/>
      <c r="G215" s="97" t="n"/>
      <c r="H215" s="97" t="n"/>
      <c r="I215" s="97" t="n"/>
      <c r="J215" s="97" t="n"/>
      <c r="K215" s="97" t="n"/>
      <c r="L215" s="97" t="n"/>
      <c r="M215" s="97" t="n"/>
      <c r="N215" s="97" t="n"/>
      <c r="O215" s="97" t="n"/>
      <c r="P215" s="97" t="n"/>
    </row>
    <row r="216" ht="15.75" customHeight="1" s="105">
      <c r="B216" s="97" t="n"/>
      <c r="D216" s="97" t="n"/>
      <c r="E216" s="97" t="n"/>
      <c r="F216" s="97" t="n"/>
      <c r="G216" s="97" t="n"/>
      <c r="H216" s="97" t="n"/>
      <c r="I216" s="97" t="n"/>
      <c r="J216" s="97" t="n"/>
      <c r="K216" s="97" t="n"/>
      <c r="L216" s="97" t="n"/>
      <c r="M216" s="97" t="n"/>
      <c r="N216" s="97" t="n"/>
      <c r="O216" s="97" t="n"/>
      <c r="P216" s="97" t="n"/>
    </row>
    <row r="217" ht="15.75" customHeight="1" s="105">
      <c r="B217" s="97" t="n"/>
      <c r="D217" s="97" t="n"/>
      <c r="E217" s="97" t="n"/>
      <c r="F217" s="97" t="n"/>
      <c r="G217" s="97" t="n"/>
      <c r="H217" s="97" t="n"/>
      <c r="I217" s="97" t="n"/>
      <c r="J217" s="97" t="n"/>
      <c r="K217" s="97" t="n"/>
      <c r="L217" s="97" t="n"/>
      <c r="M217" s="97" t="n"/>
      <c r="N217" s="97" t="n"/>
      <c r="O217" s="97" t="n"/>
      <c r="P217" s="97" t="n"/>
    </row>
    <row r="218" ht="15.75" customHeight="1" s="105">
      <c r="B218" s="97" t="n"/>
      <c r="D218" s="97" t="n"/>
      <c r="E218" s="97" t="n"/>
      <c r="F218" s="97" t="n"/>
      <c r="G218" s="97" t="n"/>
      <c r="H218" s="97" t="n"/>
      <c r="I218" s="97" t="n"/>
      <c r="J218" s="97" t="n"/>
      <c r="K218" s="97" t="n"/>
      <c r="L218" s="97" t="n"/>
      <c r="M218" s="97" t="n"/>
      <c r="N218" s="97" t="n"/>
      <c r="O218" s="97" t="n"/>
      <c r="P218" s="97" t="n"/>
    </row>
    <row r="219" ht="15.75" customHeight="1" s="105">
      <c r="B219" s="97" t="n"/>
      <c r="D219" s="97" t="n"/>
      <c r="E219" s="97" t="n"/>
      <c r="F219" s="97" t="n"/>
      <c r="G219" s="97" t="n"/>
      <c r="H219" s="97" t="n"/>
      <c r="I219" s="97" t="n"/>
      <c r="J219" s="97" t="n"/>
      <c r="K219" s="97" t="n"/>
      <c r="L219" s="97" t="n"/>
      <c r="M219" s="97" t="n"/>
      <c r="N219" s="97" t="n"/>
      <c r="O219" s="97" t="n"/>
      <c r="P219" s="97" t="n"/>
    </row>
    <row r="220" ht="15.75" customHeight="1" s="105">
      <c r="B220" s="97" t="n"/>
      <c r="D220" s="97" t="n"/>
      <c r="E220" s="97" t="n"/>
      <c r="F220" s="97" t="n"/>
      <c r="G220" s="97" t="n"/>
      <c r="H220" s="97" t="n"/>
      <c r="I220" s="97" t="n"/>
      <c r="J220" s="97" t="n"/>
      <c r="K220" s="97" t="n"/>
      <c r="L220" s="97" t="n"/>
      <c r="M220" s="97" t="n"/>
      <c r="N220" s="97" t="n"/>
      <c r="O220" s="97" t="n"/>
      <c r="P220" s="97" t="n"/>
    </row>
    <row r="221" ht="15.75" customHeight="1" s="105">
      <c r="B221" s="97" t="n"/>
      <c r="D221" s="97" t="n"/>
      <c r="E221" s="97" t="n"/>
      <c r="F221" s="97" t="n"/>
      <c r="G221" s="97" t="n"/>
      <c r="H221" s="97" t="n"/>
      <c r="I221" s="97" t="n"/>
      <c r="J221" s="97" t="n"/>
      <c r="K221" s="97" t="n"/>
      <c r="L221" s="97" t="n"/>
      <c r="M221" s="97" t="n"/>
      <c r="N221" s="97" t="n"/>
      <c r="O221" s="97" t="n"/>
      <c r="P221" s="97" t="n"/>
    </row>
    <row r="222" ht="15.75" customHeight="1" s="105">
      <c r="B222" s="97" t="n"/>
      <c r="D222" s="97" t="n"/>
      <c r="E222" s="97" t="n"/>
      <c r="F222" s="97" t="n"/>
      <c r="G222" s="97" t="n"/>
      <c r="H222" s="97" t="n"/>
      <c r="I222" s="97" t="n"/>
      <c r="J222" s="97" t="n"/>
      <c r="K222" s="97" t="n"/>
      <c r="L222" s="97" t="n"/>
      <c r="M222" s="97" t="n"/>
      <c r="N222" s="97" t="n"/>
      <c r="O222" s="97" t="n"/>
      <c r="P222" s="97" t="n"/>
    </row>
    <row r="223" ht="15.75" customHeight="1" s="105">
      <c r="B223" s="97" t="n"/>
      <c r="D223" s="97" t="n"/>
      <c r="E223" s="97" t="n"/>
      <c r="F223" s="97" t="n"/>
      <c r="G223" s="97" t="n"/>
      <c r="H223" s="97" t="n"/>
      <c r="I223" s="97" t="n"/>
      <c r="J223" s="97" t="n"/>
      <c r="K223" s="97" t="n"/>
      <c r="L223" s="97" t="n"/>
      <c r="M223" s="97" t="n"/>
      <c r="N223" s="97" t="n"/>
      <c r="O223" s="97" t="n"/>
      <c r="P223" s="97" t="n"/>
    </row>
    <row r="224" ht="15.75" customHeight="1" s="105">
      <c r="B224" s="97" t="n"/>
      <c r="D224" s="97" t="n"/>
      <c r="E224" s="97" t="n"/>
      <c r="F224" s="97" t="n"/>
      <c r="G224" s="97" t="n"/>
      <c r="H224" s="97" t="n"/>
      <c r="I224" s="97" t="n"/>
      <c r="J224" s="97" t="n"/>
      <c r="K224" s="97" t="n"/>
      <c r="L224" s="97" t="n"/>
      <c r="M224" s="97" t="n"/>
      <c r="N224" s="97" t="n"/>
      <c r="O224" s="97" t="n"/>
      <c r="P224" s="97" t="n"/>
    </row>
    <row r="225" ht="15.75" customHeight="1" s="105">
      <c r="B225" s="97" t="n"/>
      <c r="D225" s="97" t="n"/>
      <c r="E225" s="97" t="n"/>
      <c r="F225" s="97" t="n"/>
      <c r="G225" s="97" t="n"/>
      <c r="H225" s="97" t="n"/>
      <c r="I225" s="97" t="n"/>
      <c r="J225" s="97" t="n"/>
      <c r="K225" s="97" t="n"/>
      <c r="L225" s="97" t="n"/>
      <c r="M225" s="97" t="n"/>
      <c r="N225" s="97" t="n"/>
      <c r="O225" s="97" t="n"/>
      <c r="P225" s="97" t="n"/>
    </row>
    <row r="226" ht="15.75" customHeight="1" s="105">
      <c r="B226" s="97" t="n"/>
      <c r="D226" s="97" t="n"/>
      <c r="E226" s="97" t="n"/>
      <c r="F226" s="97" t="n"/>
      <c r="G226" s="97" t="n"/>
      <c r="H226" s="97" t="n"/>
      <c r="I226" s="97" t="n"/>
      <c r="J226" s="97" t="n"/>
      <c r="K226" s="97" t="n"/>
      <c r="L226" s="97" t="n"/>
      <c r="M226" s="97" t="n"/>
      <c r="N226" s="97" t="n"/>
      <c r="O226" s="97" t="n"/>
      <c r="P226" s="97" t="n"/>
    </row>
    <row r="227" ht="15.75" customHeight="1" s="105">
      <c r="B227" s="97" t="n"/>
      <c r="D227" s="97" t="n"/>
      <c r="E227" s="97" t="n"/>
      <c r="F227" s="97" t="n"/>
      <c r="G227" s="97" t="n"/>
      <c r="H227" s="97" t="n"/>
      <c r="I227" s="97" t="n"/>
      <c r="J227" s="97" t="n"/>
      <c r="K227" s="97" t="n"/>
      <c r="L227" s="97" t="n"/>
      <c r="M227" s="97" t="n"/>
      <c r="N227" s="97" t="n"/>
      <c r="O227" s="97" t="n"/>
      <c r="P227" s="97" t="n"/>
    </row>
    <row r="228" ht="15.75" customHeight="1" s="105">
      <c r="B228" s="97" t="n"/>
      <c r="D228" s="97" t="n"/>
      <c r="E228" s="97" t="n"/>
      <c r="F228" s="97" t="n"/>
      <c r="G228" s="97" t="n"/>
      <c r="H228" s="97" t="n"/>
      <c r="I228" s="97" t="n"/>
      <c r="J228" s="97" t="n"/>
      <c r="K228" s="97" t="n"/>
      <c r="L228" s="97" t="n"/>
      <c r="M228" s="97" t="n"/>
      <c r="N228" s="97" t="n"/>
      <c r="O228" s="97" t="n"/>
      <c r="P228" s="97" t="n"/>
    </row>
    <row r="229" ht="15.75" customHeight="1" s="105">
      <c r="B229" s="97" t="n"/>
      <c r="D229" s="97" t="n"/>
      <c r="E229" s="97" t="n"/>
      <c r="F229" s="97" t="n"/>
      <c r="G229" s="97" t="n"/>
      <c r="H229" s="97" t="n"/>
      <c r="I229" s="97" t="n"/>
      <c r="J229" s="97" t="n"/>
      <c r="K229" s="97" t="n"/>
      <c r="L229" s="97" t="n"/>
      <c r="M229" s="97" t="n"/>
      <c r="N229" s="97" t="n"/>
      <c r="O229" s="97" t="n"/>
      <c r="P229" s="97" t="n"/>
    </row>
    <row r="230" ht="15.75" customHeight="1" s="105">
      <c r="B230" s="97" t="n"/>
      <c r="D230" s="97" t="n"/>
      <c r="E230" s="97" t="n"/>
      <c r="F230" s="97" t="n"/>
      <c r="G230" s="97" t="n"/>
      <c r="H230" s="97" t="n"/>
      <c r="I230" s="97" t="n"/>
      <c r="J230" s="97" t="n"/>
      <c r="K230" s="97" t="n"/>
      <c r="L230" s="97" t="n"/>
      <c r="M230" s="97" t="n"/>
      <c r="N230" s="97" t="n"/>
      <c r="O230" s="97" t="n"/>
      <c r="P230" s="97" t="n"/>
    </row>
    <row r="231" ht="15.75" customHeight="1" s="105">
      <c r="B231" s="97" t="n"/>
      <c r="D231" s="97" t="n"/>
      <c r="E231" s="97" t="n"/>
      <c r="F231" s="97" t="n"/>
      <c r="G231" s="97" t="n"/>
      <c r="H231" s="97" t="n"/>
      <c r="I231" s="97" t="n"/>
      <c r="J231" s="97" t="n"/>
      <c r="K231" s="97" t="n"/>
      <c r="L231" s="97" t="n"/>
      <c r="M231" s="97" t="n"/>
      <c r="N231" s="97" t="n"/>
      <c r="O231" s="97" t="n"/>
      <c r="P231" s="97" t="n"/>
    </row>
    <row r="232" ht="15.75" customHeight="1" s="105">
      <c r="B232" s="97" t="n"/>
      <c r="D232" s="97" t="n"/>
      <c r="E232" s="97" t="n"/>
      <c r="F232" s="97" t="n"/>
      <c r="G232" s="97" t="n"/>
      <c r="H232" s="97" t="n"/>
      <c r="I232" s="97" t="n"/>
      <c r="J232" s="97" t="n"/>
      <c r="K232" s="97" t="n"/>
      <c r="L232" s="97" t="n"/>
      <c r="M232" s="97" t="n"/>
      <c r="N232" s="97" t="n"/>
      <c r="O232" s="97" t="n"/>
      <c r="P232" s="97" t="n"/>
    </row>
    <row r="233" ht="15.75" customHeight="1" s="105">
      <c r="B233" s="97" t="n"/>
      <c r="D233" s="97" t="n"/>
      <c r="E233" s="97" t="n"/>
      <c r="F233" s="97" t="n"/>
      <c r="G233" s="97" t="n"/>
      <c r="H233" s="97" t="n"/>
      <c r="I233" s="97" t="n"/>
      <c r="J233" s="97" t="n"/>
      <c r="K233" s="97" t="n"/>
      <c r="L233" s="97" t="n"/>
      <c r="M233" s="97" t="n"/>
      <c r="N233" s="97" t="n"/>
      <c r="O233" s="97" t="n"/>
      <c r="P233" s="97" t="n"/>
    </row>
    <row r="234" ht="15.75" customHeight="1" s="105">
      <c r="B234" s="97" t="n"/>
      <c r="D234" s="97" t="n"/>
      <c r="E234" s="97" t="n"/>
      <c r="F234" s="97" t="n"/>
      <c r="G234" s="97" t="n"/>
      <c r="H234" s="97" t="n"/>
      <c r="I234" s="97" t="n"/>
      <c r="J234" s="97" t="n"/>
      <c r="K234" s="97" t="n"/>
      <c r="L234" s="97" t="n"/>
      <c r="M234" s="97" t="n"/>
      <c r="N234" s="97" t="n"/>
      <c r="O234" s="97" t="n"/>
      <c r="P234" s="97" t="n"/>
    </row>
    <row r="235" ht="15.75" customHeight="1" s="105">
      <c r="B235" s="97" t="n"/>
      <c r="D235" s="97" t="n"/>
      <c r="E235" s="97" t="n"/>
      <c r="F235" s="97" t="n"/>
      <c r="G235" s="97" t="n"/>
      <c r="H235" s="97" t="n"/>
      <c r="I235" s="97" t="n"/>
      <c r="J235" s="97" t="n"/>
      <c r="K235" s="97" t="n"/>
      <c r="L235" s="97" t="n"/>
      <c r="M235" s="97" t="n"/>
      <c r="N235" s="97" t="n"/>
      <c r="O235" s="97" t="n"/>
      <c r="P235" s="97" t="n"/>
    </row>
    <row r="236" ht="15.75" customHeight="1" s="105">
      <c r="B236" s="97" t="n"/>
      <c r="D236" s="97" t="n"/>
      <c r="E236" s="97" t="n"/>
      <c r="F236" s="97" t="n"/>
      <c r="G236" s="97" t="n"/>
      <c r="H236" s="97" t="n"/>
      <c r="I236" s="97" t="n"/>
      <c r="J236" s="97" t="n"/>
      <c r="K236" s="97" t="n"/>
      <c r="L236" s="97" t="n"/>
      <c r="M236" s="97" t="n"/>
      <c r="N236" s="97" t="n"/>
      <c r="O236" s="97" t="n"/>
      <c r="P236" s="97" t="n"/>
    </row>
    <row r="237" ht="15.75" customHeight="1" s="105">
      <c r="B237" s="97" t="n"/>
      <c r="D237" s="97" t="n"/>
      <c r="E237" s="97" t="n"/>
      <c r="F237" s="97" t="n"/>
      <c r="G237" s="97" t="n"/>
      <c r="H237" s="97" t="n"/>
      <c r="I237" s="97" t="n"/>
      <c r="J237" s="97" t="n"/>
      <c r="K237" s="97" t="n"/>
      <c r="L237" s="97" t="n"/>
      <c r="M237" s="97" t="n"/>
      <c r="N237" s="97" t="n"/>
      <c r="O237" s="97" t="n"/>
      <c r="P237" s="97" t="n"/>
    </row>
    <row r="238" ht="15.75" customHeight="1" s="105">
      <c r="B238" s="97" t="n"/>
      <c r="D238" s="97" t="n"/>
      <c r="E238" s="97" t="n"/>
      <c r="F238" s="97" t="n"/>
      <c r="G238" s="97" t="n"/>
      <c r="H238" s="97" t="n"/>
      <c r="I238" s="97" t="n"/>
      <c r="J238" s="97" t="n"/>
      <c r="K238" s="97" t="n"/>
      <c r="L238" s="97" t="n"/>
      <c r="M238" s="97" t="n"/>
      <c r="N238" s="97" t="n"/>
      <c r="O238" s="97" t="n"/>
      <c r="P238" s="97" t="n"/>
    </row>
    <row r="239" ht="15.75" customHeight="1" s="105">
      <c r="B239" s="97" t="n"/>
      <c r="D239" s="97" t="n"/>
      <c r="E239" s="97" t="n"/>
      <c r="F239" s="97" t="n"/>
      <c r="G239" s="97" t="n"/>
      <c r="H239" s="97" t="n"/>
      <c r="I239" s="97" t="n"/>
      <c r="J239" s="97" t="n"/>
      <c r="K239" s="97" t="n"/>
      <c r="L239" s="97" t="n"/>
      <c r="M239" s="97" t="n"/>
      <c r="N239" s="97" t="n"/>
      <c r="O239" s="97" t="n"/>
      <c r="P239" s="97" t="n"/>
    </row>
    <row r="240" ht="15.75" customHeight="1" s="105">
      <c r="B240" s="97" t="n"/>
      <c r="D240" s="97" t="n"/>
      <c r="E240" s="97" t="n"/>
      <c r="F240" s="97" t="n"/>
      <c r="G240" s="97" t="n"/>
      <c r="H240" s="97" t="n"/>
      <c r="I240" s="97" t="n"/>
      <c r="J240" s="97" t="n"/>
      <c r="K240" s="97" t="n"/>
      <c r="L240" s="97" t="n"/>
      <c r="M240" s="97" t="n"/>
      <c r="N240" s="97" t="n"/>
      <c r="O240" s="97" t="n"/>
      <c r="P240" s="97" t="n"/>
    </row>
    <row r="241" ht="15.75" customHeight="1" s="105">
      <c r="B241" s="97" t="n"/>
      <c r="D241" s="97" t="n"/>
      <c r="E241" s="97" t="n"/>
      <c r="F241" s="97" t="n"/>
      <c r="G241" s="97" t="n"/>
      <c r="H241" s="97" t="n"/>
      <c r="I241" s="97" t="n"/>
      <c r="J241" s="97" t="n"/>
      <c r="K241" s="97" t="n"/>
      <c r="L241" s="97" t="n"/>
      <c r="M241" s="97" t="n"/>
      <c r="N241" s="97" t="n"/>
      <c r="O241" s="97" t="n"/>
      <c r="P241" s="97" t="n"/>
    </row>
    <row r="242" ht="15.75" customHeight="1" s="105">
      <c r="B242" s="97" t="n"/>
      <c r="D242" s="97" t="n"/>
      <c r="E242" s="97" t="n"/>
      <c r="F242" s="97" t="n"/>
      <c r="G242" s="97" t="n"/>
      <c r="H242" s="97" t="n"/>
      <c r="I242" s="97" t="n"/>
      <c r="J242" s="97" t="n"/>
      <c r="K242" s="97" t="n"/>
      <c r="L242" s="97" t="n"/>
      <c r="M242" s="97" t="n"/>
      <c r="N242" s="97" t="n"/>
      <c r="O242" s="97" t="n"/>
      <c r="P242" s="97" t="n"/>
    </row>
    <row r="243" ht="15.75" customHeight="1" s="105">
      <c r="B243" s="97" t="n"/>
      <c r="D243" s="97" t="n"/>
      <c r="E243" s="97" t="n"/>
      <c r="F243" s="97" t="n"/>
      <c r="G243" s="97" t="n"/>
      <c r="H243" s="97" t="n"/>
      <c r="I243" s="97" t="n"/>
      <c r="J243" s="97" t="n"/>
      <c r="K243" s="97" t="n"/>
      <c r="L243" s="97" t="n"/>
      <c r="M243" s="97" t="n"/>
      <c r="N243" s="97" t="n"/>
      <c r="O243" s="97" t="n"/>
      <c r="P243" s="97" t="n"/>
    </row>
    <row r="244" ht="15.75" customHeight="1" s="105">
      <c r="B244" s="97" t="n"/>
      <c r="D244" s="97" t="n"/>
      <c r="E244" s="97" t="n"/>
      <c r="F244" s="97" t="n"/>
      <c r="G244" s="97" t="n"/>
      <c r="H244" s="97" t="n"/>
      <c r="I244" s="97" t="n"/>
      <c r="J244" s="97" t="n"/>
      <c r="K244" s="97" t="n"/>
      <c r="L244" s="97" t="n"/>
      <c r="M244" s="97" t="n"/>
      <c r="N244" s="97" t="n"/>
      <c r="O244" s="97" t="n"/>
      <c r="P244" s="97" t="n"/>
    </row>
    <row r="245" ht="15.75" customHeight="1" s="105">
      <c r="B245" s="97" t="n"/>
      <c r="D245" s="97" t="n"/>
      <c r="E245" s="97" t="n"/>
      <c r="F245" s="97" t="n"/>
      <c r="G245" s="97" t="n"/>
      <c r="H245" s="97" t="n"/>
      <c r="I245" s="97" t="n"/>
      <c r="J245" s="97" t="n"/>
      <c r="K245" s="97" t="n"/>
      <c r="L245" s="97" t="n"/>
      <c r="M245" s="97" t="n"/>
      <c r="N245" s="97" t="n"/>
      <c r="O245" s="97" t="n"/>
      <c r="P245" s="97" t="n"/>
    </row>
    <row r="246" ht="15.75" customHeight="1" s="105">
      <c r="B246" s="97" t="n"/>
      <c r="D246" s="97" t="n"/>
      <c r="E246" s="97" t="n"/>
      <c r="F246" s="97" t="n"/>
      <c r="G246" s="97" t="n"/>
      <c r="H246" s="97" t="n"/>
      <c r="I246" s="97" t="n"/>
      <c r="J246" s="97" t="n"/>
      <c r="K246" s="97" t="n"/>
      <c r="L246" s="97" t="n"/>
      <c r="M246" s="97" t="n"/>
      <c r="N246" s="97" t="n"/>
      <c r="O246" s="97" t="n"/>
      <c r="P246" s="97" t="n"/>
    </row>
    <row r="247" ht="15.75" customHeight="1" s="105">
      <c r="B247" s="97" t="n"/>
      <c r="D247" s="97" t="n"/>
      <c r="E247" s="97" t="n"/>
      <c r="F247" s="97" t="n"/>
      <c r="G247" s="97" t="n"/>
      <c r="H247" s="97" t="n"/>
      <c r="I247" s="97" t="n"/>
      <c r="J247" s="97" t="n"/>
      <c r="K247" s="97" t="n"/>
      <c r="L247" s="97" t="n"/>
      <c r="M247" s="97" t="n"/>
      <c r="N247" s="97" t="n"/>
      <c r="O247" s="97" t="n"/>
      <c r="P247" s="97" t="n"/>
    </row>
    <row r="248" ht="15.75" customHeight="1" s="105">
      <c r="B248" s="97" t="n"/>
      <c r="D248" s="97" t="n"/>
      <c r="E248" s="97" t="n"/>
      <c r="F248" s="97" t="n"/>
      <c r="G248" s="97" t="n"/>
      <c r="H248" s="97" t="n"/>
      <c r="I248" s="97" t="n"/>
      <c r="J248" s="97" t="n"/>
      <c r="K248" s="97" t="n"/>
      <c r="L248" s="97" t="n"/>
      <c r="M248" s="97" t="n"/>
      <c r="N248" s="97" t="n"/>
      <c r="O248" s="97" t="n"/>
      <c r="P248" s="97" t="n"/>
    </row>
    <row r="249" ht="15.75" customHeight="1" s="105">
      <c r="B249" s="97" t="n"/>
      <c r="D249" s="97" t="n"/>
      <c r="E249" s="97" t="n"/>
      <c r="F249" s="97" t="n"/>
      <c r="G249" s="97" t="n"/>
      <c r="H249" s="97" t="n"/>
      <c r="I249" s="97" t="n"/>
      <c r="J249" s="97" t="n"/>
      <c r="K249" s="97" t="n"/>
      <c r="L249" s="97" t="n"/>
      <c r="M249" s="97" t="n"/>
      <c r="N249" s="97" t="n"/>
      <c r="O249" s="97" t="n"/>
      <c r="P249" s="97" t="n"/>
    </row>
    <row r="250" ht="15.75" customHeight="1" s="105">
      <c r="B250" s="97" t="n"/>
      <c r="D250" s="97" t="n"/>
      <c r="E250" s="97" t="n"/>
      <c r="F250" s="97" t="n"/>
      <c r="G250" s="97" t="n"/>
      <c r="H250" s="97" t="n"/>
      <c r="I250" s="97" t="n"/>
      <c r="J250" s="97" t="n"/>
      <c r="K250" s="97" t="n"/>
      <c r="L250" s="97" t="n"/>
      <c r="M250" s="97" t="n"/>
      <c r="N250" s="97" t="n"/>
      <c r="O250" s="97" t="n"/>
      <c r="P250" s="97" t="n"/>
    </row>
    <row r="251" ht="15.75" customHeight="1" s="105">
      <c r="B251" s="97" t="n"/>
      <c r="D251" s="97" t="n"/>
      <c r="E251" s="97" t="n"/>
      <c r="F251" s="97" t="n"/>
      <c r="G251" s="97" t="n"/>
      <c r="H251" s="97" t="n"/>
      <c r="I251" s="97" t="n"/>
      <c r="J251" s="97" t="n"/>
      <c r="K251" s="97" t="n"/>
      <c r="L251" s="97" t="n"/>
      <c r="M251" s="97" t="n"/>
      <c r="N251" s="97" t="n"/>
      <c r="O251" s="97" t="n"/>
      <c r="P251" s="97" t="n"/>
    </row>
    <row r="252" ht="15.75" customHeight="1" s="105">
      <c r="B252" s="97" t="n"/>
      <c r="D252" s="97" t="n"/>
      <c r="E252" s="97" t="n"/>
      <c r="F252" s="97" t="n"/>
      <c r="G252" s="97" t="n"/>
      <c r="H252" s="97" t="n"/>
      <c r="I252" s="97" t="n"/>
      <c r="J252" s="97" t="n"/>
      <c r="K252" s="97" t="n"/>
      <c r="L252" s="97" t="n"/>
      <c r="M252" s="97" t="n"/>
      <c r="N252" s="97" t="n"/>
      <c r="O252" s="97" t="n"/>
      <c r="P252" s="97" t="n"/>
    </row>
    <row r="253" ht="15.75" customHeight="1" s="105">
      <c r="B253" s="97" t="n"/>
      <c r="D253" s="97" t="n"/>
      <c r="E253" s="97" t="n"/>
      <c r="F253" s="97" t="n"/>
      <c r="G253" s="97" t="n"/>
      <c r="H253" s="97" t="n"/>
      <c r="I253" s="97" t="n"/>
      <c r="J253" s="97" t="n"/>
      <c r="K253" s="97" t="n"/>
      <c r="L253" s="97" t="n"/>
      <c r="M253" s="97" t="n"/>
      <c r="N253" s="97" t="n"/>
      <c r="O253" s="97" t="n"/>
      <c r="P253" s="97" t="n"/>
    </row>
    <row r="254" ht="15.75" customHeight="1" s="105">
      <c r="B254" s="97" t="n"/>
      <c r="D254" s="97" t="n"/>
      <c r="E254" s="97" t="n"/>
      <c r="F254" s="97" t="n"/>
      <c r="G254" s="97" t="n"/>
      <c r="H254" s="97" t="n"/>
      <c r="I254" s="97" t="n"/>
      <c r="J254" s="97" t="n"/>
      <c r="K254" s="97" t="n"/>
      <c r="L254" s="97" t="n"/>
      <c r="M254" s="97" t="n"/>
      <c r="N254" s="97" t="n"/>
      <c r="O254" s="97" t="n"/>
      <c r="P254" s="97" t="n"/>
    </row>
    <row r="255" ht="15.75" customHeight="1" s="105">
      <c r="B255" s="97" t="n"/>
      <c r="D255" s="97" t="n"/>
      <c r="E255" s="97" t="n"/>
      <c r="F255" s="97" t="n"/>
      <c r="G255" s="97" t="n"/>
      <c r="H255" s="97" t="n"/>
      <c r="I255" s="97" t="n"/>
      <c r="J255" s="97" t="n"/>
      <c r="K255" s="97" t="n"/>
      <c r="L255" s="97" t="n"/>
      <c r="M255" s="97" t="n"/>
      <c r="N255" s="97" t="n"/>
      <c r="O255" s="97" t="n"/>
      <c r="P255" s="97" t="n"/>
    </row>
    <row r="256" ht="15.75" customHeight="1" s="105">
      <c r="B256" s="97" t="n"/>
      <c r="D256" s="97" t="n"/>
      <c r="E256" s="97" t="n"/>
      <c r="F256" s="97" t="n"/>
      <c r="G256" s="97" t="n"/>
      <c r="H256" s="97" t="n"/>
      <c r="I256" s="97" t="n"/>
      <c r="J256" s="97" t="n"/>
      <c r="K256" s="97" t="n"/>
      <c r="L256" s="97" t="n"/>
      <c r="M256" s="97" t="n"/>
      <c r="N256" s="97" t="n"/>
      <c r="O256" s="97" t="n"/>
      <c r="P256" s="97" t="n"/>
    </row>
    <row r="257" ht="15.75" customHeight="1" s="105">
      <c r="B257" s="97" t="n"/>
      <c r="D257" s="97" t="n"/>
      <c r="E257" s="97" t="n"/>
      <c r="F257" s="97" t="n"/>
      <c r="G257" s="97" t="n"/>
      <c r="H257" s="97" t="n"/>
      <c r="I257" s="97" t="n"/>
      <c r="J257" s="97" t="n"/>
      <c r="K257" s="97" t="n"/>
      <c r="L257" s="97" t="n"/>
      <c r="M257" s="97" t="n"/>
      <c r="N257" s="97" t="n"/>
      <c r="O257" s="97" t="n"/>
      <c r="P257" s="97" t="n"/>
    </row>
    <row r="258" ht="15.75" customHeight="1" s="105">
      <c r="B258" s="97" t="n"/>
      <c r="D258" s="97" t="n"/>
      <c r="E258" s="97" t="n"/>
      <c r="F258" s="97" t="n"/>
      <c r="G258" s="97" t="n"/>
      <c r="H258" s="97" t="n"/>
      <c r="I258" s="97" t="n"/>
      <c r="J258" s="97" t="n"/>
      <c r="K258" s="97" t="n"/>
      <c r="L258" s="97" t="n"/>
      <c r="M258" s="97" t="n"/>
      <c r="N258" s="97" t="n"/>
      <c r="O258" s="97" t="n"/>
      <c r="P258" s="97" t="n"/>
    </row>
    <row r="259" ht="15.75" customHeight="1" s="105">
      <c r="B259" s="97" t="n"/>
      <c r="D259" s="97" t="n"/>
      <c r="E259" s="97" t="n"/>
      <c r="F259" s="97" t="n"/>
      <c r="G259" s="97" t="n"/>
      <c r="H259" s="97" t="n"/>
      <c r="I259" s="97" t="n"/>
      <c r="J259" s="97" t="n"/>
      <c r="K259" s="97" t="n"/>
      <c r="L259" s="97" t="n"/>
      <c r="M259" s="97" t="n"/>
      <c r="N259" s="97" t="n"/>
      <c r="O259" s="97" t="n"/>
      <c r="P259" s="97" t="n"/>
    </row>
    <row r="260" ht="15.75" customHeight="1" s="105">
      <c r="B260" s="97" t="n"/>
      <c r="D260" s="97" t="n"/>
      <c r="E260" s="97" t="n"/>
      <c r="F260" s="97" t="n"/>
      <c r="G260" s="97" t="n"/>
      <c r="H260" s="97" t="n"/>
      <c r="I260" s="97" t="n"/>
      <c r="J260" s="97" t="n"/>
      <c r="K260" s="97" t="n"/>
      <c r="L260" s="97" t="n"/>
      <c r="M260" s="97" t="n"/>
      <c r="N260" s="97" t="n"/>
      <c r="O260" s="97" t="n"/>
      <c r="P260" s="97" t="n"/>
    </row>
    <row r="261" ht="15.75" customHeight="1" s="105">
      <c r="B261" s="97" t="n"/>
      <c r="D261" s="97" t="n"/>
      <c r="E261" s="97" t="n"/>
      <c r="F261" s="97" t="n"/>
      <c r="G261" s="97" t="n"/>
      <c r="H261" s="97" t="n"/>
      <c r="I261" s="97" t="n"/>
      <c r="J261" s="97" t="n"/>
      <c r="K261" s="97" t="n"/>
      <c r="L261" s="97" t="n"/>
      <c r="M261" s="97" t="n"/>
      <c r="N261" s="97" t="n"/>
      <c r="O261" s="97" t="n"/>
      <c r="P261" s="97" t="n"/>
    </row>
    <row r="262" ht="15.75" customHeight="1" s="105">
      <c r="B262" s="97" t="n"/>
      <c r="D262" s="97" t="n"/>
      <c r="E262" s="97" t="n"/>
      <c r="F262" s="97" t="n"/>
      <c r="G262" s="97" t="n"/>
      <c r="H262" s="97" t="n"/>
      <c r="I262" s="97" t="n"/>
      <c r="J262" s="97" t="n"/>
      <c r="K262" s="97" t="n"/>
      <c r="L262" s="97" t="n"/>
      <c r="M262" s="97" t="n"/>
      <c r="N262" s="97" t="n"/>
      <c r="O262" s="97" t="n"/>
      <c r="P262" s="97" t="n"/>
    </row>
    <row r="263" ht="15.75" customHeight="1" s="105">
      <c r="B263" s="97" t="n"/>
      <c r="D263" s="97" t="n"/>
      <c r="E263" s="97" t="n"/>
      <c r="F263" s="97" t="n"/>
      <c r="G263" s="97" t="n"/>
      <c r="H263" s="97" t="n"/>
      <c r="I263" s="97" t="n"/>
      <c r="J263" s="97" t="n"/>
      <c r="K263" s="97" t="n"/>
      <c r="L263" s="97" t="n"/>
      <c r="M263" s="97" t="n"/>
      <c r="N263" s="97" t="n"/>
      <c r="O263" s="97" t="n"/>
      <c r="P263" s="97" t="n"/>
    </row>
    <row r="264" ht="15.75" customHeight="1" s="105">
      <c r="B264" s="97" t="n"/>
      <c r="D264" s="97" t="n"/>
      <c r="E264" s="97" t="n"/>
      <c r="F264" s="97" t="n"/>
      <c r="G264" s="97" t="n"/>
      <c r="H264" s="97" t="n"/>
      <c r="I264" s="97" t="n"/>
      <c r="J264" s="97" t="n"/>
      <c r="K264" s="97" t="n"/>
      <c r="L264" s="97" t="n"/>
      <c r="M264" s="97" t="n"/>
      <c r="N264" s="97" t="n"/>
      <c r="O264" s="97" t="n"/>
      <c r="P264" s="97" t="n"/>
    </row>
    <row r="265" ht="15.75" customHeight="1" s="105">
      <c r="B265" s="97" t="n"/>
      <c r="D265" s="97" t="n"/>
      <c r="E265" s="97" t="n"/>
      <c r="F265" s="97" t="n"/>
      <c r="G265" s="97" t="n"/>
      <c r="H265" s="97" t="n"/>
      <c r="I265" s="97" t="n"/>
      <c r="J265" s="97" t="n"/>
      <c r="K265" s="97" t="n"/>
      <c r="L265" s="97" t="n"/>
      <c r="M265" s="97" t="n"/>
      <c r="N265" s="97" t="n"/>
      <c r="O265" s="97" t="n"/>
      <c r="P265" s="97" t="n"/>
    </row>
    <row r="266" ht="15.75" customHeight="1" s="105">
      <c r="B266" s="97" t="n"/>
      <c r="D266" s="97" t="n"/>
      <c r="E266" s="97" t="n"/>
      <c r="F266" s="97" t="n"/>
      <c r="G266" s="97" t="n"/>
      <c r="H266" s="97" t="n"/>
      <c r="I266" s="97" t="n"/>
      <c r="J266" s="97" t="n"/>
      <c r="K266" s="97" t="n"/>
      <c r="L266" s="97" t="n"/>
      <c r="M266" s="97" t="n"/>
      <c r="N266" s="97" t="n"/>
      <c r="O266" s="97" t="n"/>
      <c r="P266" s="97" t="n"/>
    </row>
    <row r="267" ht="15.75" customHeight="1" s="105">
      <c r="B267" s="97" t="n"/>
      <c r="D267" s="97" t="n"/>
      <c r="E267" s="97" t="n"/>
      <c r="F267" s="97" t="n"/>
      <c r="G267" s="97" t="n"/>
      <c r="H267" s="97" t="n"/>
      <c r="I267" s="97" t="n"/>
      <c r="J267" s="97" t="n"/>
      <c r="K267" s="97" t="n"/>
      <c r="L267" s="97" t="n"/>
      <c r="M267" s="97" t="n"/>
      <c r="N267" s="97" t="n"/>
      <c r="O267" s="97" t="n"/>
      <c r="P267" s="97" t="n"/>
    </row>
    <row r="268" ht="15.75" customHeight="1" s="105">
      <c r="B268" s="97" t="n"/>
      <c r="D268" s="97" t="n"/>
      <c r="E268" s="97" t="n"/>
      <c r="F268" s="97" t="n"/>
      <c r="G268" s="97" t="n"/>
      <c r="H268" s="97" t="n"/>
      <c r="I268" s="97" t="n"/>
      <c r="J268" s="97" t="n"/>
      <c r="K268" s="97" t="n"/>
      <c r="L268" s="97" t="n"/>
      <c r="M268" s="97" t="n"/>
      <c r="N268" s="97" t="n"/>
      <c r="O268" s="97" t="n"/>
      <c r="P268" s="97" t="n"/>
    </row>
    <row r="269" ht="15.75" customHeight="1" s="105">
      <c r="B269" s="97" t="n"/>
      <c r="D269" s="97" t="n"/>
      <c r="E269" s="97" t="n"/>
      <c r="F269" s="97" t="n"/>
      <c r="G269" s="97" t="n"/>
      <c r="H269" s="97" t="n"/>
      <c r="I269" s="97" t="n"/>
      <c r="J269" s="97" t="n"/>
      <c r="K269" s="97" t="n"/>
      <c r="L269" s="97" t="n"/>
      <c r="M269" s="97" t="n"/>
      <c r="N269" s="97" t="n"/>
      <c r="O269" s="97" t="n"/>
      <c r="P269" s="97" t="n"/>
    </row>
    <row r="270" ht="15.75" customHeight="1" s="105">
      <c r="B270" s="97" t="n"/>
      <c r="D270" s="97" t="n"/>
      <c r="E270" s="97" t="n"/>
      <c r="F270" s="97" t="n"/>
      <c r="G270" s="97" t="n"/>
      <c r="H270" s="97" t="n"/>
      <c r="I270" s="97" t="n"/>
      <c r="J270" s="97" t="n"/>
      <c r="K270" s="97" t="n"/>
      <c r="L270" s="97" t="n"/>
      <c r="M270" s="97" t="n"/>
      <c r="N270" s="97" t="n"/>
      <c r="O270" s="97" t="n"/>
      <c r="P270" s="97" t="n"/>
    </row>
    <row r="271" ht="15.75" customHeight="1" s="105">
      <c r="B271" s="97" t="n"/>
      <c r="D271" s="97" t="n"/>
      <c r="E271" s="97" t="n"/>
      <c r="F271" s="97" t="n"/>
      <c r="G271" s="97" t="n"/>
      <c r="H271" s="97" t="n"/>
      <c r="I271" s="97" t="n"/>
      <c r="J271" s="97" t="n"/>
      <c r="K271" s="97" t="n"/>
      <c r="L271" s="97" t="n"/>
      <c r="M271" s="97" t="n"/>
      <c r="N271" s="97" t="n"/>
      <c r="O271" s="97" t="n"/>
      <c r="P271" s="97" t="n"/>
    </row>
    <row r="272" ht="15.75" customHeight="1" s="105">
      <c r="B272" s="97" t="n"/>
      <c r="D272" s="97" t="n"/>
      <c r="E272" s="97" t="n"/>
      <c r="F272" s="97" t="n"/>
      <c r="G272" s="97" t="n"/>
      <c r="H272" s="97" t="n"/>
      <c r="I272" s="97" t="n"/>
      <c r="J272" s="97" t="n"/>
      <c r="K272" s="97" t="n"/>
      <c r="L272" s="97" t="n"/>
      <c r="M272" s="97" t="n"/>
      <c r="N272" s="97" t="n"/>
      <c r="O272" s="97" t="n"/>
      <c r="P272" s="97" t="n"/>
    </row>
    <row r="273" ht="15.75" customHeight="1" s="105">
      <c r="B273" s="97" t="n"/>
      <c r="D273" s="97" t="n"/>
      <c r="E273" s="97" t="n"/>
      <c r="F273" s="97" t="n"/>
      <c r="G273" s="97" t="n"/>
      <c r="H273" s="97" t="n"/>
      <c r="I273" s="97" t="n"/>
      <c r="J273" s="97" t="n"/>
      <c r="K273" s="97" t="n"/>
      <c r="L273" s="97" t="n"/>
      <c r="M273" s="97" t="n"/>
      <c r="N273" s="97" t="n"/>
      <c r="O273" s="97" t="n"/>
      <c r="P273" s="97" t="n"/>
    </row>
    <row r="274" ht="15.75" customHeight="1" s="105">
      <c r="B274" s="97" t="n"/>
      <c r="D274" s="97" t="n"/>
      <c r="E274" s="97" t="n"/>
      <c r="F274" s="97" t="n"/>
      <c r="G274" s="97" t="n"/>
      <c r="H274" s="97" t="n"/>
      <c r="I274" s="97" t="n"/>
      <c r="J274" s="97" t="n"/>
      <c r="K274" s="97" t="n"/>
      <c r="L274" s="97" t="n"/>
      <c r="M274" s="97" t="n"/>
      <c r="N274" s="97" t="n"/>
      <c r="O274" s="97" t="n"/>
      <c r="P274" s="97" t="n"/>
    </row>
    <row r="275" ht="15.75" customHeight="1" s="105">
      <c r="B275" s="97" t="n"/>
      <c r="D275" s="97" t="n"/>
      <c r="E275" s="97" t="n"/>
      <c r="F275" s="97" t="n"/>
      <c r="G275" s="97" t="n"/>
      <c r="H275" s="97" t="n"/>
      <c r="I275" s="97" t="n"/>
      <c r="J275" s="97" t="n"/>
      <c r="K275" s="97" t="n"/>
      <c r="L275" s="97" t="n"/>
      <c r="M275" s="97" t="n"/>
      <c r="N275" s="97" t="n"/>
      <c r="O275" s="97" t="n"/>
      <c r="P275" s="97" t="n"/>
    </row>
    <row r="276" ht="15.75" customHeight="1" s="105">
      <c r="B276" s="97" t="n"/>
      <c r="D276" s="97" t="n"/>
      <c r="E276" s="97" t="n"/>
      <c r="F276" s="97" t="n"/>
      <c r="G276" s="97" t="n"/>
      <c r="H276" s="97" t="n"/>
      <c r="I276" s="97" t="n"/>
      <c r="J276" s="97" t="n"/>
      <c r="K276" s="97" t="n"/>
      <c r="L276" s="97" t="n"/>
      <c r="M276" s="97" t="n"/>
      <c r="N276" s="97" t="n"/>
      <c r="O276" s="97" t="n"/>
      <c r="P276" s="97" t="n"/>
    </row>
    <row r="277" ht="15.75" customHeight="1" s="105">
      <c r="B277" s="97" t="n"/>
      <c r="D277" s="97" t="n"/>
      <c r="E277" s="97" t="n"/>
      <c r="F277" s="97" t="n"/>
      <c r="G277" s="97" t="n"/>
      <c r="H277" s="97" t="n"/>
      <c r="I277" s="97" t="n"/>
      <c r="J277" s="97" t="n"/>
      <c r="K277" s="97" t="n"/>
      <c r="L277" s="97" t="n"/>
      <c r="M277" s="97" t="n"/>
      <c r="N277" s="97" t="n"/>
      <c r="O277" s="97" t="n"/>
      <c r="P277" s="97" t="n"/>
    </row>
    <row r="278" ht="15.75" customHeight="1" s="105">
      <c r="B278" s="97" t="n"/>
      <c r="D278" s="97" t="n"/>
      <c r="E278" s="97" t="n"/>
      <c r="F278" s="97" t="n"/>
      <c r="G278" s="97" t="n"/>
      <c r="H278" s="97" t="n"/>
      <c r="I278" s="97" t="n"/>
      <c r="J278" s="97" t="n"/>
      <c r="K278" s="97" t="n"/>
      <c r="L278" s="97" t="n"/>
      <c r="M278" s="97" t="n"/>
      <c r="N278" s="97" t="n"/>
      <c r="O278" s="97" t="n"/>
      <c r="P278" s="97" t="n"/>
    </row>
    <row r="279" ht="15.75" customHeight="1" s="105">
      <c r="B279" s="97" t="n"/>
      <c r="D279" s="97" t="n"/>
      <c r="E279" s="97" t="n"/>
      <c r="F279" s="97" t="n"/>
      <c r="G279" s="97" t="n"/>
      <c r="H279" s="97" t="n"/>
      <c r="I279" s="97" t="n"/>
      <c r="J279" s="97" t="n"/>
      <c r="K279" s="97" t="n"/>
      <c r="L279" s="97" t="n"/>
      <c r="M279" s="97" t="n"/>
      <c r="N279" s="97" t="n"/>
      <c r="O279" s="97" t="n"/>
      <c r="P279" s="97" t="n"/>
    </row>
    <row r="280" ht="15.75" customHeight="1" s="105">
      <c r="B280" s="97" t="n"/>
      <c r="D280" s="97" t="n"/>
      <c r="E280" s="97" t="n"/>
      <c r="F280" s="97" t="n"/>
      <c r="G280" s="97" t="n"/>
      <c r="H280" s="97" t="n"/>
      <c r="I280" s="97" t="n"/>
      <c r="J280" s="97" t="n"/>
      <c r="K280" s="97" t="n"/>
      <c r="L280" s="97" t="n"/>
      <c r="M280" s="97" t="n"/>
      <c r="N280" s="97" t="n"/>
      <c r="O280" s="97" t="n"/>
      <c r="P280" s="97" t="n"/>
    </row>
    <row r="281" ht="15.75" customHeight="1" s="105">
      <c r="B281" s="97" t="n"/>
      <c r="D281" s="97" t="n"/>
      <c r="E281" s="97" t="n"/>
      <c r="F281" s="97" t="n"/>
      <c r="G281" s="97" t="n"/>
      <c r="H281" s="97" t="n"/>
      <c r="I281" s="97" t="n"/>
      <c r="J281" s="97" t="n"/>
      <c r="K281" s="97" t="n"/>
      <c r="L281" s="97" t="n"/>
      <c r="M281" s="97" t="n"/>
      <c r="N281" s="97" t="n"/>
      <c r="O281" s="97" t="n"/>
      <c r="P281" s="97" t="n"/>
    </row>
    <row r="282" ht="15.75" customHeight="1" s="105">
      <c r="B282" s="97" t="n"/>
      <c r="D282" s="97" t="n"/>
      <c r="E282" s="97" t="n"/>
      <c r="F282" s="97" t="n"/>
      <c r="G282" s="97" t="n"/>
      <c r="H282" s="97" t="n"/>
      <c r="I282" s="97" t="n"/>
      <c r="J282" s="97" t="n"/>
      <c r="K282" s="97" t="n"/>
      <c r="L282" s="97" t="n"/>
      <c r="M282" s="97" t="n"/>
      <c r="N282" s="97" t="n"/>
      <c r="O282" s="97" t="n"/>
      <c r="P282" s="97" t="n"/>
    </row>
    <row r="283" ht="15.75" customHeight="1" s="105">
      <c r="B283" s="97" t="n"/>
      <c r="D283" s="97" t="n"/>
      <c r="E283" s="97" t="n"/>
      <c r="F283" s="97" t="n"/>
      <c r="G283" s="97" t="n"/>
      <c r="H283" s="97" t="n"/>
      <c r="I283" s="97" t="n"/>
      <c r="J283" s="97" t="n"/>
      <c r="K283" s="97" t="n"/>
      <c r="L283" s="97" t="n"/>
      <c r="M283" s="97" t="n"/>
      <c r="N283" s="97" t="n"/>
      <c r="O283" s="97" t="n"/>
      <c r="P283" s="97" t="n"/>
    </row>
    <row r="284" ht="15.75" customHeight="1" s="105">
      <c r="B284" s="97" t="n"/>
      <c r="D284" s="97" t="n"/>
      <c r="E284" s="97" t="n"/>
      <c r="F284" s="97" t="n"/>
      <c r="G284" s="97" t="n"/>
      <c r="H284" s="97" t="n"/>
      <c r="I284" s="97" t="n"/>
      <c r="J284" s="97" t="n"/>
      <c r="K284" s="97" t="n"/>
      <c r="L284" s="97" t="n"/>
      <c r="M284" s="97" t="n"/>
      <c r="N284" s="97" t="n"/>
      <c r="O284" s="97" t="n"/>
      <c r="P284" s="97" t="n"/>
    </row>
    <row r="285" ht="15.75" customHeight="1" s="105">
      <c r="B285" s="97" t="n"/>
      <c r="D285" s="97" t="n"/>
      <c r="E285" s="97" t="n"/>
      <c r="F285" s="97" t="n"/>
      <c r="G285" s="97" t="n"/>
      <c r="H285" s="97" t="n"/>
      <c r="I285" s="97" t="n"/>
      <c r="J285" s="97" t="n"/>
      <c r="K285" s="97" t="n"/>
      <c r="L285" s="97" t="n"/>
      <c r="M285" s="97" t="n"/>
      <c r="N285" s="97" t="n"/>
      <c r="O285" s="97" t="n"/>
      <c r="P285" s="97" t="n"/>
    </row>
    <row r="286" ht="15.75" customHeight="1" s="105">
      <c r="B286" s="97" t="n"/>
      <c r="D286" s="97" t="n"/>
      <c r="E286" s="97" t="n"/>
      <c r="F286" s="97" t="n"/>
      <c r="G286" s="97" t="n"/>
      <c r="H286" s="97" t="n"/>
      <c r="I286" s="97" t="n"/>
      <c r="J286" s="97" t="n"/>
      <c r="K286" s="97" t="n"/>
      <c r="L286" s="97" t="n"/>
      <c r="M286" s="97" t="n"/>
      <c r="N286" s="97" t="n"/>
      <c r="O286" s="97" t="n"/>
      <c r="P286" s="97" t="n"/>
    </row>
    <row r="287" ht="15.75" customHeight="1" s="105">
      <c r="B287" s="97" t="n"/>
      <c r="D287" s="97" t="n"/>
      <c r="E287" s="97" t="n"/>
      <c r="F287" s="97" t="n"/>
      <c r="G287" s="97" t="n"/>
      <c r="H287" s="97" t="n"/>
      <c r="I287" s="97" t="n"/>
      <c r="J287" s="97" t="n"/>
      <c r="K287" s="97" t="n"/>
      <c r="L287" s="97" t="n"/>
      <c r="M287" s="97" t="n"/>
      <c r="N287" s="97" t="n"/>
      <c r="O287" s="97" t="n"/>
      <c r="P287" s="97" t="n"/>
    </row>
    <row r="288" ht="15.75" customHeight="1" s="105">
      <c r="B288" s="97" t="n"/>
      <c r="D288" s="97" t="n"/>
      <c r="E288" s="97" t="n"/>
      <c r="F288" s="97" t="n"/>
      <c r="G288" s="97" t="n"/>
      <c r="H288" s="97" t="n"/>
      <c r="I288" s="97" t="n"/>
      <c r="J288" s="97" t="n"/>
      <c r="K288" s="97" t="n"/>
      <c r="L288" s="97" t="n"/>
      <c r="M288" s="97" t="n"/>
      <c r="N288" s="97" t="n"/>
      <c r="O288" s="97" t="n"/>
      <c r="P288" s="97" t="n"/>
    </row>
    <row r="289" ht="15.75" customHeight="1" s="105">
      <c r="B289" s="97" t="n"/>
      <c r="D289" s="97" t="n"/>
      <c r="E289" s="97" t="n"/>
      <c r="F289" s="97" t="n"/>
      <c r="G289" s="97" t="n"/>
      <c r="H289" s="97" t="n"/>
      <c r="I289" s="97" t="n"/>
      <c r="J289" s="97" t="n"/>
      <c r="K289" s="97" t="n"/>
      <c r="L289" s="97" t="n"/>
      <c r="M289" s="97" t="n"/>
      <c r="N289" s="97" t="n"/>
      <c r="O289" s="97" t="n"/>
      <c r="P289" s="97" t="n"/>
    </row>
    <row r="290" ht="15.75" customHeight="1" s="105">
      <c r="B290" s="97" t="n"/>
      <c r="D290" s="97" t="n"/>
      <c r="E290" s="97" t="n"/>
      <c r="F290" s="97" t="n"/>
      <c r="G290" s="97" t="n"/>
      <c r="H290" s="97" t="n"/>
      <c r="I290" s="97" t="n"/>
      <c r="J290" s="97" t="n"/>
      <c r="K290" s="97" t="n"/>
      <c r="L290" s="97" t="n"/>
      <c r="M290" s="97" t="n"/>
      <c r="N290" s="97" t="n"/>
      <c r="O290" s="97" t="n"/>
      <c r="P290" s="97" t="n"/>
    </row>
    <row r="291" ht="15.75" customHeight="1" s="105">
      <c r="B291" s="97" t="n"/>
      <c r="D291" s="97" t="n"/>
      <c r="E291" s="97" t="n"/>
      <c r="F291" s="97" t="n"/>
      <c r="G291" s="97" t="n"/>
      <c r="H291" s="97" t="n"/>
      <c r="I291" s="97" t="n"/>
      <c r="J291" s="97" t="n"/>
      <c r="K291" s="97" t="n"/>
      <c r="L291" s="97" t="n"/>
      <c r="M291" s="97" t="n"/>
      <c r="N291" s="97" t="n"/>
      <c r="O291" s="97" t="n"/>
      <c r="P291" s="97" t="n"/>
    </row>
    <row r="292" ht="15.75" customHeight="1" s="105">
      <c r="B292" s="97" t="n"/>
      <c r="D292" s="97" t="n"/>
      <c r="E292" s="97" t="n"/>
      <c r="F292" s="97" t="n"/>
      <c r="G292" s="97" t="n"/>
      <c r="H292" s="97" t="n"/>
      <c r="I292" s="97" t="n"/>
      <c r="J292" s="97" t="n"/>
      <c r="K292" s="97" t="n"/>
      <c r="L292" s="97" t="n"/>
      <c r="M292" s="97" t="n"/>
      <c r="N292" s="97" t="n"/>
      <c r="O292" s="97" t="n"/>
      <c r="P292" s="97" t="n"/>
    </row>
    <row r="293" ht="15.75" customHeight="1" s="105">
      <c r="B293" s="97" t="n"/>
      <c r="D293" s="97" t="n"/>
      <c r="E293" s="97" t="n"/>
      <c r="F293" s="97" t="n"/>
      <c r="G293" s="97" t="n"/>
      <c r="H293" s="97" t="n"/>
      <c r="I293" s="97" t="n"/>
      <c r="J293" s="97" t="n"/>
      <c r="K293" s="97" t="n"/>
      <c r="L293" s="97" t="n"/>
      <c r="M293" s="97" t="n"/>
      <c r="N293" s="97" t="n"/>
      <c r="O293" s="97" t="n"/>
      <c r="P293" s="97" t="n"/>
    </row>
    <row r="294" ht="15.75" customHeight="1" s="105">
      <c r="B294" s="97" t="n"/>
      <c r="D294" s="97" t="n"/>
      <c r="E294" s="97" t="n"/>
      <c r="F294" s="97" t="n"/>
      <c r="G294" s="97" t="n"/>
      <c r="H294" s="97" t="n"/>
      <c r="I294" s="97" t="n"/>
      <c r="J294" s="97" t="n"/>
      <c r="K294" s="97" t="n"/>
      <c r="L294" s="97" t="n"/>
      <c r="M294" s="97" t="n"/>
      <c r="N294" s="97" t="n"/>
      <c r="O294" s="97" t="n"/>
      <c r="P294" s="97" t="n"/>
    </row>
    <row r="295" ht="15.75" customHeight="1" s="105">
      <c r="B295" s="97" t="n"/>
      <c r="D295" s="97" t="n"/>
      <c r="E295" s="97" t="n"/>
      <c r="F295" s="97" t="n"/>
      <c r="G295" s="97" t="n"/>
      <c r="H295" s="97" t="n"/>
      <c r="I295" s="97" t="n"/>
      <c r="J295" s="97" t="n"/>
      <c r="K295" s="97" t="n"/>
      <c r="L295" s="97" t="n"/>
      <c r="M295" s="97" t="n"/>
      <c r="N295" s="97" t="n"/>
      <c r="O295" s="97" t="n"/>
      <c r="P295" s="97" t="n"/>
    </row>
    <row r="296" ht="15.75" customHeight="1" s="105">
      <c r="B296" s="97" t="n"/>
      <c r="D296" s="97" t="n"/>
      <c r="E296" s="97" t="n"/>
      <c r="F296" s="97" t="n"/>
      <c r="G296" s="97" t="n"/>
      <c r="H296" s="97" t="n"/>
      <c r="I296" s="97" t="n"/>
      <c r="J296" s="97" t="n"/>
      <c r="K296" s="97" t="n"/>
      <c r="L296" s="97" t="n"/>
      <c r="M296" s="97" t="n"/>
      <c r="N296" s="97" t="n"/>
      <c r="O296" s="97" t="n"/>
      <c r="P296" s="97" t="n"/>
    </row>
    <row r="297" ht="15.75" customHeight="1" s="105">
      <c r="B297" s="97" t="n"/>
      <c r="D297" s="97" t="n"/>
      <c r="E297" s="97" t="n"/>
      <c r="F297" s="97" t="n"/>
      <c r="G297" s="97" t="n"/>
      <c r="H297" s="97" t="n"/>
      <c r="I297" s="97" t="n"/>
      <c r="J297" s="97" t="n"/>
      <c r="K297" s="97" t="n"/>
      <c r="L297" s="97" t="n"/>
      <c r="M297" s="97" t="n"/>
      <c r="N297" s="97" t="n"/>
      <c r="O297" s="97" t="n"/>
      <c r="P297" s="97" t="n"/>
    </row>
    <row r="298" ht="15.75" customHeight="1" s="105">
      <c r="B298" s="97" t="n"/>
      <c r="D298" s="97" t="n"/>
      <c r="E298" s="97" t="n"/>
      <c r="F298" s="97" t="n"/>
      <c r="G298" s="97" t="n"/>
      <c r="H298" s="97" t="n"/>
      <c r="I298" s="97" t="n"/>
      <c r="J298" s="97" t="n"/>
      <c r="K298" s="97" t="n"/>
      <c r="L298" s="97" t="n"/>
      <c r="M298" s="97" t="n"/>
      <c r="N298" s="97" t="n"/>
      <c r="O298" s="97" t="n"/>
      <c r="P298" s="97" t="n"/>
    </row>
    <row r="299" ht="15.75" customHeight="1" s="105">
      <c r="B299" s="97" t="n"/>
      <c r="D299" s="97" t="n"/>
      <c r="E299" s="97" t="n"/>
      <c r="F299" s="97" t="n"/>
      <c r="G299" s="97" t="n"/>
      <c r="H299" s="97" t="n"/>
      <c r="I299" s="97" t="n"/>
      <c r="J299" s="97" t="n"/>
      <c r="K299" s="97" t="n"/>
      <c r="L299" s="97" t="n"/>
      <c r="M299" s="97" t="n"/>
      <c r="N299" s="97" t="n"/>
      <c r="O299" s="97" t="n"/>
      <c r="P299" s="97" t="n"/>
    </row>
    <row r="300" ht="15.75" customHeight="1" s="105">
      <c r="B300" s="97" t="n"/>
      <c r="D300" s="97" t="n"/>
      <c r="E300" s="97" t="n"/>
      <c r="F300" s="97" t="n"/>
      <c r="G300" s="97" t="n"/>
      <c r="H300" s="97" t="n"/>
      <c r="I300" s="97" t="n"/>
      <c r="J300" s="97" t="n"/>
      <c r="K300" s="97" t="n"/>
      <c r="L300" s="97" t="n"/>
      <c r="M300" s="97" t="n"/>
      <c r="N300" s="97" t="n"/>
      <c r="O300" s="97" t="n"/>
      <c r="P300" s="97" t="n"/>
    </row>
    <row r="301" ht="15.75" customHeight="1" s="105">
      <c r="B301" s="97" t="n"/>
      <c r="D301" s="97" t="n"/>
      <c r="E301" s="97" t="n"/>
      <c r="F301" s="97" t="n"/>
      <c r="G301" s="97" t="n"/>
      <c r="H301" s="97" t="n"/>
      <c r="I301" s="97" t="n"/>
      <c r="J301" s="97" t="n"/>
      <c r="K301" s="97" t="n"/>
      <c r="L301" s="97" t="n"/>
      <c r="M301" s="97" t="n"/>
      <c r="N301" s="97" t="n"/>
      <c r="O301" s="97" t="n"/>
      <c r="P301" s="97" t="n"/>
    </row>
    <row r="302" ht="15.75" customHeight="1" s="105">
      <c r="B302" s="97" t="n"/>
      <c r="D302" s="97" t="n"/>
      <c r="E302" s="97" t="n"/>
      <c r="F302" s="97" t="n"/>
      <c r="G302" s="97" t="n"/>
      <c r="H302" s="97" t="n"/>
      <c r="I302" s="97" t="n"/>
      <c r="J302" s="97" t="n"/>
      <c r="K302" s="97" t="n"/>
      <c r="L302" s="97" t="n"/>
      <c r="M302" s="97" t="n"/>
      <c r="N302" s="97" t="n"/>
      <c r="O302" s="97" t="n"/>
      <c r="P302" s="97" t="n"/>
    </row>
    <row r="303" ht="15.75" customHeight="1" s="105">
      <c r="B303" s="97" t="n"/>
      <c r="D303" s="97" t="n"/>
      <c r="E303" s="97" t="n"/>
      <c r="F303" s="97" t="n"/>
      <c r="G303" s="97" t="n"/>
      <c r="H303" s="97" t="n"/>
      <c r="I303" s="97" t="n"/>
      <c r="J303" s="97" t="n"/>
      <c r="K303" s="97" t="n"/>
      <c r="L303" s="97" t="n"/>
      <c r="M303" s="97" t="n"/>
      <c r="N303" s="97" t="n"/>
      <c r="O303" s="97" t="n"/>
      <c r="P303" s="97" t="n"/>
    </row>
    <row r="304" ht="15.75" customHeight="1" s="105">
      <c r="B304" s="97" t="n"/>
      <c r="D304" s="97" t="n"/>
      <c r="E304" s="97" t="n"/>
      <c r="F304" s="97" t="n"/>
      <c r="G304" s="97" t="n"/>
      <c r="H304" s="97" t="n"/>
      <c r="I304" s="97" t="n"/>
      <c r="J304" s="97" t="n"/>
      <c r="K304" s="97" t="n"/>
      <c r="L304" s="97" t="n"/>
      <c r="M304" s="97" t="n"/>
      <c r="N304" s="97" t="n"/>
      <c r="O304" s="97" t="n"/>
      <c r="P304" s="97" t="n"/>
    </row>
    <row r="305" ht="15.75" customHeight="1" s="105">
      <c r="B305" s="97" t="n"/>
      <c r="D305" s="97" t="n"/>
      <c r="E305" s="97" t="n"/>
      <c r="F305" s="97" t="n"/>
      <c r="G305" s="97" t="n"/>
      <c r="H305" s="97" t="n"/>
      <c r="I305" s="97" t="n"/>
      <c r="J305" s="97" t="n"/>
      <c r="K305" s="97" t="n"/>
      <c r="L305" s="97" t="n"/>
      <c r="M305" s="97" t="n"/>
      <c r="N305" s="97" t="n"/>
      <c r="O305" s="97" t="n"/>
      <c r="P305" s="97" t="n"/>
    </row>
    <row r="306" ht="15.75" customHeight="1" s="105">
      <c r="B306" s="97" t="n"/>
      <c r="D306" s="97" t="n"/>
      <c r="E306" s="97" t="n"/>
      <c r="F306" s="97" t="n"/>
      <c r="G306" s="97" t="n"/>
      <c r="H306" s="97" t="n"/>
      <c r="I306" s="97" t="n"/>
      <c r="J306" s="97" t="n"/>
      <c r="K306" s="97" t="n"/>
      <c r="L306" s="97" t="n"/>
      <c r="M306" s="97" t="n"/>
      <c r="N306" s="97" t="n"/>
      <c r="O306" s="97" t="n"/>
      <c r="P306" s="97" t="n"/>
    </row>
    <row r="307" ht="15.75" customHeight="1" s="105">
      <c r="B307" s="97" t="n"/>
      <c r="D307" s="97" t="n"/>
      <c r="E307" s="97" t="n"/>
      <c r="F307" s="97" t="n"/>
      <c r="G307" s="97" t="n"/>
      <c r="H307" s="97" t="n"/>
      <c r="I307" s="97" t="n"/>
      <c r="J307" s="97" t="n"/>
      <c r="K307" s="97" t="n"/>
      <c r="L307" s="97" t="n"/>
      <c r="M307" s="97" t="n"/>
      <c r="N307" s="97" t="n"/>
      <c r="O307" s="97" t="n"/>
      <c r="P307" s="97" t="n"/>
    </row>
    <row r="308" ht="15.75" customHeight="1" s="105">
      <c r="B308" s="97" t="n"/>
      <c r="D308" s="97" t="n"/>
      <c r="E308" s="97" t="n"/>
      <c r="F308" s="97" t="n"/>
      <c r="G308" s="97" t="n"/>
      <c r="H308" s="97" t="n"/>
      <c r="I308" s="97" t="n"/>
      <c r="J308" s="97" t="n"/>
      <c r="K308" s="97" t="n"/>
      <c r="L308" s="97" t="n"/>
      <c r="M308" s="97" t="n"/>
      <c r="N308" s="97" t="n"/>
      <c r="O308" s="97" t="n"/>
      <c r="P308" s="97" t="n"/>
    </row>
    <row r="309" ht="15.75" customHeight="1" s="105">
      <c r="B309" s="97" t="n"/>
      <c r="D309" s="97" t="n"/>
      <c r="E309" s="97" t="n"/>
      <c r="F309" s="97" t="n"/>
      <c r="G309" s="97" t="n"/>
      <c r="H309" s="97" t="n"/>
      <c r="I309" s="97" t="n"/>
      <c r="J309" s="97" t="n"/>
      <c r="K309" s="97" t="n"/>
      <c r="L309" s="97" t="n"/>
      <c r="M309" s="97" t="n"/>
      <c r="N309" s="97" t="n"/>
      <c r="O309" s="97" t="n"/>
      <c r="P309" s="97" t="n"/>
    </row>
    <row r="310" ht="15.75" customHeight="1" s="105">
      <c r="B310" s="97" t="n"/>
      <c r="D310" s="97" t="n"/>
      <c r="E310" s="97" t="n"/>
      <c r="F310" s="97" t="n"/>
      <c r="G310" s="97" t="n"/>
      <c r="H310" s="97" t="n"/>
      <c r="I310" s="97" t="n"/>
      <c r="J310" s="97" t="n"/>
      <c r="K310" s="97" t="n"/>
      <c r="L310" s="97" t="n"/>
      <c r="M310" s="97" t="n"/>
      <c r="N310" s="97" t="n"/>
      <c r="O310" s="97" t="n"/>
      <c r="P310" s="97" t="n"/>
    </row>
    <row r="311" ht="15.75" customHeight="1" s="105">
      <c r="B311" s="97" t="n"/>
      <c r="D311" s="97" t="n"/>
      <c r="E311" s="97" t="n"/>
      <c r="F311" s="97" t="n"/>
      <c r="G311" s="97" t="n"/>
      <c r="H311" s="97" t="n"/>
      <c r="I311" s="97" t="n"/>
      <c r="J311" s="97" t="n"/>
      <c r="K311" s="97" t="n"/>
      <c r="L311" s="97" t="n"/>
      <c r="M311" s="97" t="n"/>
      <c r="N311" s="97" t="n"/>
      <c r="O311" s="97" t="n"/>
      <c r="P311" s="97" t="n"/>
    </row>
    <row r="312" ht="15.75" customHeight="1" s="105">
      <c r="B312" s="97" t="n"/>
      <c r="D312" s="97" t="n"/>
      <c r="E312" s="97" t="n"/>
      <c r="F312" s="97" t="n"/>
      <c r="G312" s="97" t="n"/>
      <c r="H312" s="97" t="n"/>
      <c r="I312" s="97" t="n"/>
      <c r="J312" s="97" t="n"/>
      <c r="K312" s="97" t="n"/>
      <c r="L312" s="97" t="n"/>
      <c r="M312" s="97" t="n"/>
      <c r="N312" s="97" t="n"/>
      <c r="O312" s="97" t="n"/>
      <c r="P312" s="97" t="n"/>
    </row>
    <row r="313" ht="15.75" customHeight="1" s="105">
      <c r="B313" s="97" t="n"/>
      <c r="D313" s="97" t="n"/>
      <c r="E313" s="97" t="n"/>
      <c r="F313" s="97" t="n"/>
      <c r="G313" s="97" t="n"/>
      <c r="H313" s="97" t="n"/>
      <c r="I313" s="97" t="n"/>
      <c r="J313" s="97" t="n"/>
      <c r="K313" s="97" t="n"/>
      <c r="L313" s="97" t="n"/>
      <c r="M313" s="97" t="n"/>
      <c r="N313" s="97" t="n"/>
      <c r="O313" s="97" t="n"/>
      <c r="P313" s="97" t="n"/>
    </row>
    <row r="314" ht="15.75" customHeight="1" s="105">
      <c r="B314" s="97" t="n"/>
      <c r="D314" s="97" t="n"/>
      <c r="E314" s="97" t="n"/>
      <c r="F314" s="97" t="n"/>
      <c r="G314" s="97" t="n"/>
      <c r="H314" s="97" t="n"/>
      <c r="I314" s="97" t="n"/>
      <c r="J314" s="97" t="n"/>
      <c r="K314" s="97" t="n"/>
      <c r="L314" s="97" t="n"/>
      <c r="M314" s="97" t="n"/>
      <c r="N314" s="97" t="n"/>
      <c r="O314" s="97" t="n"/>
      <c r="P314" s="97" t="n"/>
    </row>
    <row r="315" ht="15.75" customHeight="1" s="105">
      <c r="B315" s="97" t="n"/>
      <c r="D315" s="97" t="n"/>
      <c r="E315" s="97" t="n"/>
      <c r="F315" s="97" t="n"/>
      <c r="G315" s="97" t="n"/>
      <c r="H315" s="97" t="n"/>
      <c r="I315" s="97" t="n"/>
      <c r="J315" s="97" t="n"/>
      <c r="K315" s="97" t="n"/>
      <c r="L315" s="97" t="n"/>
      <c r="M315" s="97" t="n"/>
      <c r="N315" s="97" t="n"/>
      <c r="O315" s="97" t="n"/>
      <c r="P315" s="97" t="n"/>
    </row>
    <row r="316" ht="15.75" customHeight="1" s="105">
      <c r="B316" s="97" t="n"/>
      <c r="D316" s="97" t="n"/>
      <c r="E316" s="97" t="n"/>
      <c r="F316" s="97" t="n"/>
      <c r="G316" s="97" t="n"/>
      <c r="H316" s="97" t="n"/>
      <c r="I316" s="97" t="n"/>
      <c r="J316" s="97" t="n"/>
      <c r="K316" s="97" t="n"/>
      <c r="L316" s="97" t="n"/>
      <c r="M316" s="97" t="n"/>
      <c r="N316" s="97" t="n"/>
      <c r="O316" s="97" t="n"/>
      <c r="P316" s="97" t="n"/>
    </row>
    <row r="317" ht="15.75" customHeight="1" s="105">
      <c r="B317" s="97" t="n"/>
      <c r="D317" s="97" t="n"/>
      <c r="E317" s="97" t="n"/>
      <c r="F317" s="97" t="n"/>
      <c r="G317" s="97" t="n"/>
      <c r="H317" s="97" t="n"/>
      <c r="I317" s="97" t="n"/>
      <c r="J317" s="97" t="n"/>
      <c r="K317" s="97" t="n"/>
      <c r="L317" s="97" t="n"/>
      <c r="M317" s="97" t="n"/>
      <c r="N317" s="97" t="n"/>
      <c r="O317" s="97" t="n"/>
      <c r="P317" s="97" t="n"/>
    </row>
    <row r="318" ht="15.75" customHeight="1" s="105">
      <c r="B318" s="97" t="n"/>
      <c r="D318" s="97" t="n"/>
      <c r="E318" s="97" t="n"/>
      <c r="F318" s="97" t="n"/>
      <c r="G318" s="97" t="n"/>
      <c r="H318" s="97" t="n"/>
      <c r="I318" s="97" t="n"/>
      <c r="J318" s="97" t="n"/>
      <c r="K318" s="97" t="n"/>
      <c r="L318" s="97" t="n"/>
      <c r="M318" s="97" t="n"/>
      <c r="N318" s="97" t="n"/>
      <c r="O318" s="97" t="n"/>
      <c r="P318" s="97" t="n"/>
    </row>
    <row r="319" ht="15.75" customHeight="1" s="105">
      <c r="B319" s="97" t="n"/>
      <c r="D319" s="97" t="n"/>
      <c r="E319" s="97" t="n"/>
      <c r="F319" s="97" t="n"/>
      <c r="G319" s="97" t="n"/>
      <c r="H319" s="97" t="n"/>
      <c r="I319" s="97" t="n"/>
      <c r="J319" s="97" t="n"/>
      <c r="K319" s="97" t="n"/>
      <c r="L319" s="97" t="n"/>
      <c r="M319" s="97" t="n"/>
      <c r="N319" s="97" t="n"/>
      <c r="O319" s="97" t="n"/>
      <c r="P319" s="97" t="n"/>
    </row>
    <row r="320" ht="15.75" customHeight="1" s="105">
      <c r="B320" s="97" t="n"/>
      <c r="D320" s="97" t="n"/>
      <c r="E320" s="97" t="n"/>
      <c r="F320" s="97" t="n"/>
      <c r="G320" s="97" t="n"/>
      <c r="H320" s="97" t="n"/>
      <c r="I320" s="97" t="n"/>
      <c r="J320" s="97" t="n"/>
      <c r="K320" s="97" t="n"/>
      <c r="L320" s="97" t="n"/>
      <c r="M320" s="97" t="n"/>
      <c r="N320" s="97" t="n"/>
      <c r="O320" s="97" t="n"/>
      <c r="P320" s="97" t="n"/>
    </row>
    <row r="321" ht="15.75" customHeight="1" s="105">
      <c r="B321" s="97" t="n"/>
      <c r="D321" s="97" t="n"/>
      <c r="E321" s="97" t="n"/>
      <c r="F321" s="97" t="n"/>
      <c r="G321" s="97" t="n"/>
      <c r="H321" s="97" t="n"/>
      <c r="I321" s="97" t="n"/>
      <c r="J321" s="97" t="n"/>
      <c r="K321" s="97" t="n"/>
      <c r="L321" s="97" t="n"/>
      <c r="M321" s="97" t="n"/>
      <c r="N321" s="97" t="n"/>
      <c r="O321" s="97" t="n"/>
      <c r="P321" s="97" t="n"/>
    </row>
    <row r="322" ht="15.75" customHeight="1" s="105">
      <c r="B322" s="97" t="n"/>
      <c r="D322" s="97" t="n"/>
      <c r="E322" s="97" t="n"/>
      <c r="F322" s="97" t="n"/>
      <c r="G322" s="97" t="n"/>
      <c r="H322" s="97" t="n"/>
      <c r="I322" s="97" t="n"/>
      <c r="J322" s="97" t="n"/>
      <c r="K322" s="97" t="n"/>
      <c r="L322" s="97" t="n"/>
      <c r="M322" s="97" t="n"/>
      <c r="N322" s="97" t="n"/>
      <c r="O322" s="97" t="n"/>
      <c r="P322" s="97" t="n"/>
    </row>
    <row r="323" ht="15.75" customHeight="1" s="105">
      <c r="B323" s="97" t="n"/>
      <c r="D323" s="97" t="n"/>
      <c r="E323" s="97" t="n"/>
      <c r="F323" s="97" t="n"/>
      <c r="G323" s="97" t="n"/>
      <c r="H323" s="97" t="n"/>
      <c r="I323" s="97" t="n"/>
      <c r="J323" s="97" t="n"/>
      <c r="K323" s="97" t="n"/>
      <c r="L323" s="97" t="n"/>
      <c r="M323" s="97" t="n"/>
      <c r="N323" s="97" t="n"/>
      <c r="O323" s="97" t="n"/>
      <c r="P323" s="97" t="n"/>
    </row>
    <row r="324" ht="15.75" customHeight="1" s="105">
      <c r="B324" s="97" t="n"/>
      <c r="D324" s="97" t="n"/>
      <c r="E324" s="97" t="n"/>
      <c r="F324" s="97" t="n"/>
      <c r="G324" s="97" t="n"/>
      <c r="H324" s="97" t="n"/>
      <c r="I324" s="97" t="n"/>
      <c r="J324" s="97" t="n"/>
      <c r="K324" s="97" t="n"/>
      <c r="L324" s="97" t="n"/>
      <c r="M324" s="97" t="n"/>
      <c r="N324" s="97" t="n"/>
      <c r="O324" s="97" t="n"/>
      <c r="P324" s="97" t="n"/>
    </row>
    <row r="325" ht="15.75" customHeight="1" s="105">
      <c r="B325" s="97" t="n"/>
      <c r="D325" s="97" t="n"/>
      <c r="E325" s="97" t="n"/>
      <c r="F325" s="97" t="n"/>
      <c r="G325" s="97" t="n"/>
      <c r="H325" s="97" t="n"/>
      <c r="I325" s="97" t="n"/>
      <c r="J325" s="97" t="n"/>
      <c r="K325" s="97" t="n"/>
      <c r="L325" s="97" t="n"/>
      <c r="M325" s="97" t="n"/>
      <c r="N325" s="97" t="n"/>
      <c r="O325" s="97" t="n"/>
      <c r="P325" s="97" t="n"/>
    </row>
    <row r="326" ht="15.75" customHeight="1" s="105">
      <c r="B326" s="97" t="n"/>
      <c r="D326" s="97" t="n"/>
      <c r="E326" s="97" t="n"/>
      <c r="F326" s="97" t="n"/>
      <c r="G326" s="97" t="n"/>
      <c r="H326" s="97" t="n"/>
      <c r="I326" s="97" t="n"/>
      <c r="J326" s="97" t="n"/>
      <c r="K326" s="97" t="n"/>
      <c r="L326" s="97" t="n"/>
      <c r="M326" s="97" t="n"/>
      <c r="N326" s="97" t="n"/>
      <c r="O326" s="97" t="n"/>
      <c r="P326" s="97" t="n"/>
    </row>
    <row r="327" ht="15.75" customHeight="1" s="105">
      <c r="B327" s="97" t="n"/>
      <c r="D327" s="97" t="n"/>
      <c r="E327" s="97" t="n"/>
      <c r="F327" s="97" t="n"/>
      <c r="G327" s="97" t="n"/>
      <c r="H327" s="97" t="n"/>
      <c r="I327" s="97" t="n"/>
      <c r="J327" s="97" t="n"/>
      <c r="K327" s="97" t="n"/>
      <c r="L327" s="97" t="n"/>
      <c r="M327" s="97" t="n"/>
      <c r="N327" s="97" t="n"/>
      <c r="O327" s="97" t="n"/>
      <c r="P327" s="97" t="n"/>
    </row>
    <row r="328" ht="15.75" customHeight="1" s="105">
      <c r="B328" s="97" t="n"/>
      <c r="D328" s="97" t="n"/>
      <c r="E328" s="97" t="n"/>
      <c r="F328" s="97" t="n"/>
      <c r="G328" s="97" t="n"/>
      <c r="H328" s="97" t="n"/>
      <c r="I328" s="97" t="n"/>
      <c r="J328" s="97" t="n"/>
      <c r="K328" s="97" t="n"/>
      <c r="L328" s="97" t="n"/>
      <c r="M328" s="97" t="n"/>
      <c r="N328" s="97" t="n"/>
      <c r="O328" s="97" t="n"/>
      <c r="P328" s="97" t="n"/>
    </row>
    <row r="329" ht="15.75" customHeight="1" s="105">
      <c r="B329" s="97" t="n"/>
      <c r="D329" s="97" t="n"/>
      <c r="E329" s="97" t="n"/>
      <c r="F329" s="97" t="n"/>
      <c r="G329" s="97" t="n"/>
      <c r="H329" s="97" t="n"/>
      <c r="I329" s="97" t="n"/>
      <c r="J329" s="97" t="n"/>
      <c r="K329" s="97" t="n"/>
      <c r="L329" s="97" t="n"/>
      <c r="M329" s="97" t="n"/>
      <c r="N329" s="97" t="n"/>
      <c r="O329" s="97" t="n"/>
      <c r="P329" s="97" t="n"/>
    </row>
    <row r="330" ht="15.75" customHeight="1" s="105">
      <c r="B330" s="97" t="n"/>
      <c r="D330" s="97" t="n"/>
      <c r="E330" s="97" t="n"/>
      <c r="F330" s="97" t="n"/>
      <c r="G330" s="97" t="n"/>
      <c r="H330" s="97" t="n"/>
      <c r="I330" s="97" t="n"/>
      <c r="J330" s="97" t="n"/>
      <c r="K330" s="97" t="n"/>
      <c r="L330" s="97" t="n"/>
      <c r="M330" s="97" t="n"/>
      <c r="N330" s="97" t="n"/>
      <c r="O330" s="97" t="n"/>
      <c r="P330" s="97" t="n"/>
    </row>
    <row r="331" ht="15.75" customHeight="1" s="105">
      <c r="B331" s="97" t="n"/>
      <c r="D331" s="97" t="n"/>
      <c r="E331" s="97" t="n"/>
      <c r="F331" s="97" t="n"/>
      <c r="G331" s="97" t="n"/>
      <c r="H331" s="97" t="n"/>
      <c r="I331" s="97" t="n"/>
      <c r="J331" s="97" t="n"/>
      <c r="K331" s="97" t="n"/>
      <c r="L331" s="97" t="n"/>
      <c r="M331" s="97" t="n"/>
      <c r="N331" s="97" t="n"/>
      <c r="O331" s="97" t="n"/>
      <c r="P331" s="97" t="n"/>
    </row>
    <row r="332" ht="15.75" customHeight="1" s="105">
      <c r="B332" s="97" t="n"/>
      <c r="D332" s="97" t="n"/>
      <c r="E332" s="97" t="n"/>
      <c r="F332" s="97" t="n"/>
      <c r="G332" s="97" t="n"/>
      <c r="H332" s="97" t="n"/>
      <c r="I332" s="97" t="n"/>
      <c r="J332" s="97" t="n"/>
      <c r="K332" s="97" t="n"/>
      <c r="L332" s="97" t="n"/>
      <c r="M332" s="97" t="n"/>
      <c r="N332" s="97" t="n"/>
      <c r="O332" s="97" t="n"/>
      <c r="P332" s="97" t="n"/>
    </row>
    <row r="333" ht="15.75" customHeight="1" s="105">
      <c r="B333" s="97" t="n"/>
      <c r="D333" s="97" t="n"/>
      <c r="E333" s="97" t="n"/>
      <c r="F333" s="97" t="n"/>
      <c r="G333" s="97" t="n"/>
      <c r="H333" s="97" t="n"/>
      <c r="I333" s="97" t="n"/>
      <c r="J333" s="97" t="n"/>
      <c r="K333" s="97" t="n"/>
      <c r="L333" s="97" t="n"/>
      <c r="M333" s="97" t="n"/>
      <c r="N333" s="97" t="n"/>
      <c r="O333" s="97" t="n"/>
      <c r="P333" s="97" t="n"/>
    </row>
    <row r="334" ht="15.75" customHeight="1" s="105">
      <c r="B334" s="97" t="n"/>
      <c r="D334" s="97" t="n"/>
      <c r="E334" s="97" t="n"/>
      <c r="F334" s="97" t="n"/>
      <c r="G334" s="97" t="n"/>
      <c r="H334" s="97" t="n"/>
      <c r="I334" s="97" t="n"/>
      <c r="J334" s="97" t="n"/>
      <c r="K334" s="97" t="n"/>
      <c r="L334" s="97" t="n"/>
      <c r="M334" s="97" t="n"/>
      <c r="N334" s="97" t="n"/>
      <c r="O334" s="97" t="n"/>
      <c r="P334" s="97" t="n"/>
    </row>
    <row r="335" ht="15.75" customHeight="1" s="105">
      <c r="B335" s="97" t="n"/>
      <c r="D335" s="97" t="n"/>
      <c r="E335" s="97" t="n"/>
      <c r="F335" s="97" t="n"/>
      <c r="G335" s="97" t="n"/>
      <c r="H335" s="97" t="n"/>
      <c r="I335" s="97" t="n"/>
      <c r="J335" s="97" t="n"/>
      <c r="K335" s="97" t="n"/>
      <c r="L335" s="97" t="n"/>
      <c r="M335" s="97" t="n"/>
      <c r="N335" s="97" t="n"/>
      <c r="O335" s="97" t="n"/>
      <c r="P335" s="97" t="n"/>
    </row>
    <row r="336" ht="15.75" customHeight="1" s="105">
      <c r="B336" s="97" t="n"/>
      <c r="D336" s="97" t="n"/>
      <c r="E336" s="97" t="n"/>
      <c r="F336" s="97" t="n"/>
      <c r="G336" s="97" t="n"/>
      <c r="H336" s="97" t="n"/>
      <c r="I336" s="97" t="n"/>
      <c r="J336" s="97" t="n"/>
      <c r="K336" s="97" t="n"/>
      <c r="L336" s="97" t="n"/>
      <c r="M336" s="97" t="n"/>
      <c r="N336" s="97" t="n"/>
      <c r="O336" s="97" t="n"/>
      <c r="P336" s="97" t="n"/>
    </row>
    <row r="337" ht="15.75" customHeight="1" s="105">
      <c r="B337" s="97" t="n"/>
      <c r="D337" s="97" t="n"/>
      <c r="E337" s="97" t="n"/>
      <c r="F337" s="97" t="n"/>
      <c r="G337" s="97" t="n"/>
      <c r="H337" s="97" t="n"/>
      <c r="I337" s="97" t="n"/>
      <c r="J337" s="97" t="n"/>
      <c r="K337" s="97" t="n"/>
      <c r="L337" s="97" t="n"/>
      <c r="M337" s="97" t="n"/>
      <c r="N337" s="97" t="n"/>
      <c r="O337" s="97" t="n"/>
      <c r="P337" s="97" t="n"/>
    </row>
    <row r="338" ht="15.75" customHeight="1" s="105">
      <c r="B338" s="97" t="n"/>
      <c r="D338" s="97" t="n"/>
      <c r="E338" s="97" t="n"/>
      <c r="F338" s="97" t="n"/>
      <c r="G338" s="97" t="n"/>
      <c r="H338" s="97" t="n"/>
      <c r="I338" s="97" t="n"/>
      <c r="J338" s="97" t="n"/>
      <c r="K338" s="97" t="n"/>
      <c r="L338" s="97" t="n"/>
      <c r="M338" s="97" t="n"/>
      <c r="N338" s="97" t="n"/>
      <c r="O338" s="97" t="n"/>
      <c r="P338" s="97" t="n"/>
    </row>
    <row r="339" ht="15.75" customHeight="1" s="105">
      <c r="B339" s="97" t="n"/>
      <c r="D339" s="97" t="n"/>
      <c r="E339" s="97" t="n"/>
      <c r="F339" s="97" t="n"/>
      <c r="G339" s="97" t="n"/>
      <c r="H339" s="97" t="n"/>
      <c r="I339" s="97" t="n"/>
      <c r="J339" s="97" t="n"/>
      <c r="K339" s="97" t="n"/>
      <c r="L339" s="97" t="n"/>
      <c r="M339" s="97" t="n"/>
      <c r="N339" s="97" t="n"/>
      <c r="O339" s="97" t="n"/>
      <c r="P339" s="97" t="n"/>
    </row>
    <row r="340" ht="15.75" customHeight="1" s="105">
      <c r="B340" s="97" t="n"/>
      <c r="D340" s="97" t="n"/>
      <c r="E340" s="97" t="n"/>
      <c r="F340" s="97" t="n"/>
      <c r="G340" s="97" t="n"/>
      <c r="H340" s="97" t="n"/>
      <c r="I340" s="97" t="n"/>
      <c r="J340" s="97" t="n"/>
      <c r="K340" s="97" t="n"/>
      <c r="L340" s="97" t="n"/>
      <c r="M340" s="97" t="n"/>
      <c r="N340" s="97" t="n"/>
      <c r="O340" s="97" t="n"/>
      <c r="P340" s="97" t="n"/>
    </row>
    <row r="341" ht="15.75" customHeight="1" s="105">
      <c r="B341" s="97" t="n"/>
      <c r="D341" s="97" t="n"/>
      <c r="E341" s="97" t="n"/>
      <c r="F341" s="97" t="n"/>
      <c r="G341" s="97" t="n"/>
      <c r="H341" s="97" t="n"/>
      <c r="I341" s="97" t="n"/>
      <c r="J341" s="97" t="n"/>
      <c r="K341" s="97" t="n"/>
      <c r="L341" s="97" t="n"/>
      <c r="M341" s="97" t="n"/>
      <c r="N341" s="97" t="n"/>
      <c r="O341" s="97" t="n"/>
      <c r="P341" s="97" t="n"/>
    </row>
    <row r="342" ht="15.75" customHeight="1" s="105">
      <c r="B342" s="97" t="n"/>
      <c r="D342" s="97" t="n"/>
      <c r="E342" s="97" t="n"/>
      <c r="F342" s="97" t="n"/>
      <c r="G342" s="97" t="n"/>
      <c r="H342" s="97" t="n"/>
      <c r="I342" s="97" t="n"/>
      <c r="J342" s="97" t="n"/>
      <c r="K342" s="97" t="n"/>
      <c r="L342" s="97" t="n"/>
      <c r="M342" s="97" t="n"/>
      <c r="N342" s="97" t="n"/>
      <c r="O342" s="97" t="n"/>
      <c r="P342" s="97" t="n"/>
    </row>
    <row r="343" ht="15.75" customHeight="1" s="105">
      <c r="B343" s="97" t="n"/>
      <c r="D343" s="97" t="n"/>
      <c r="E343" s="97" t="n"/>
      <c r="F343" s="97" t="n"/>
      <c r="G343" s="97" t="n"/>
      <c r="H343" s="97" t="n"/>
      <c r="I343" s="97" t="n"/>
      <c r="J343" s="97" t="n"/>
      <c r="K343" s="97" t="n"/>
      <c r="L343" s="97" t="n"/>
      <c r="M343" s="97" t="n"/>
      <c r="N343" s="97" t="n"/>
      <c r="O343" s="97" t="n"/>
      <c r="P343" s="97" t="n"/>
    </row>
    <row r="344" ht="15.75" customHeight="1" s="105">
      <c r="B344" s="97" t="n"/>
      <c r="D344" s="97" t="n"/>
      <c r="E344" s="97" t="n"/>
      <c r="F344" s="97" t="n"/>
      <c r="G344" s="97" t="n"/>
      <c r="H344" s="97" t="n"/>
      <c r="I344" s="97" t="n"/>
      <c r="J344" s="97" t="n"/>
      <c r="K344" s="97" t="n"/>
      <c r="L344" s="97" t="n"/>
      <c r="M344" s="97" t="n"/>
      <c r="N344" s="97" t="n"/>
      <c r="O344" s="97" t="n"/>
      <c r="P344" s="97" t="n"/>
    </row>
    <row r="345" ht="15.75" customHeight="1" s="105">
      <c r="B345" s="97" t="n"/>
      <c r="D345" s="97" t="n"/>
      <c r="E345" s="97" t="n"/>
      <c r="F345" s="97" t="n"/>
      <c r="G345" s="97" t="n"/>
      <c r="H345" s="97" t="n"/>
      <c r="I345" s="97" t="n"/>
      <c r="J345" s="97" t="n"/>
      <c r="K345" s="97" t="n"/>
      <c r="L345" s="97" t="n"/>
      <c r="M345" s="97" t="n"/>
      <c r="N345" s="97" t="n"/>
      <c r="O345" s="97" t="n"/>
      <c r="P345" s="97" t="n"/>
    </row>
    <row r="346" ht="15.75" customHeight="1" s="105">
      <c r="B346" s="97" t="n"/>
      <c r="D346" s="97" t="n"/>
      <c r="E346" s="97" t="n"/>
      <c r="F346" s="97" t="n"/>
      <c r="G346" s="97" t="n"/>
      <c r="H346" s="97" t="n"/>
      <c r="I346" s="97" t="n"/>
      <c r="J346" s="97" t="n"/>
      <c r="K346" s="97" t="n"/>
      <c r="L346" s="97" t="n"/>
      <c r="M346" s="97" t="n"/>
      <c r="N346" s="97" t="n"/>
      <c r="O346" s="97" t="n"/>
      <c r="P346" s="97" t="n"/>
    </row>
    <row r="347" ht="15.75" customHeight="1" s="105">
      <c r="B347" s="97" t="n"/>
      <c r="D347" s="97" t="n"/>
      <c r="E347" s="97" t="n"/>
      <c r="F347" s="97" t="n"/>
      <c r="G347" s="97" t="n"/>
      <c r="H347" s="97" t="n"/>
      <c r="I347" s="97" t="n"/>
      <c r="J347" s="97" t="n"/>
      <c r="K347" s="97" t="n"/>
      <c r="L347" s="97" t="n"/>
      <c r="M347" s="97" t="n"/>
      <c r="N347" s="97" t="n"/>
      <c r="O347" s="97" t="n"/>
      <c r="P347" s="97" t="n"/>
    </row>
    <row r="348" ht="15.75" customHeight="1" s="105">
      <c r="B348" s="97" t="n"/>
      <c r="D348" s="97" t="n"/>
      <c r="E348" s="97" t="n"/>
      <c r="F348" s="97" t="n"/>
      <c r="G348" s="97" t="n"/>
      <c r="H348" s="97" t="n"/>
      <c r="I348" s="97" t="n"/>
      <c r="J348" s="97" t="n"/>
      <c r="K348" s="97" t="n"/>
      <c r="L348" s="97" t="n"/>
      <c r="M348" s="97" t="n"/>
      <c r="N348" s="97" t="n"/>
      <c r="O348" s="97" t="n"/>
      <c r="P348" s="97" t="n"/>
    </row>
    <row r="349" ht="15.75" customHeight="1" s="105">
      <c r="B349" s="97" t="n"/>
      <c r="D349" s="97" t="n"/>
      <c r="E349" s="97" t="n"/>
      <c r="F349" s="97" t="n"/>
      <c r="G349" s="97" t="n"/>
      <c r="H349" s="97" t="n"/>
      <c r="I349" s="97" t="n"/>
      <c r="J349" s="97" t="n"/>
      <c r="K349" s="97" t="n"/>
      <c r="L349" s="97" t="n"/>
      <c r="M349" s="97" t="n"/>
      <c r="N349" s="97" t="n"/>
      <c r="O349" s="97" t="n"/>
      <c r="P349" s="97" t="n"/>
    </row>
    <row r="350" ht="15.75" customHeight="1" s="105">
      <c r="B350" s="97" t="n"/>
      <c r="D350" s="97" t="n"/>
      <c r="E350" s="97" t="n"/>
      <c r="F350" s="97" t="n"/>
      <c r="G350" s="97" t="n"/>
      <c r="H350" s="97" t="n"/>
      <c r="I350" s="97" t="n"/>
      <c r="J350" s="97" t="n"/>
      <c r="K350" s="97" t="n"/>
      <c r="L350" s="97" t="n"/>
      <c r="M350" s="97" t="n"/>
      <c r="N350" s="97" t="n"/>
      <c r="O350" s="97" t="n"/>
      <c r="P350" s="97" t="n"/>
    </row>
    <row r="351" ht="15.75" customHeight="1" s="105">
      <c r="B351" s="97" t="n"/>
      <c r="D351" s="97" t="n"/>
      <c r="E351" s="97" t="n"/>
      <c r="F351" s="97" t="n"/>
      <c r="G351" s="97" t="n"/>
      <c r="H351" s="97" t="n"/>
      <c r="I351" s="97" t="n"/>
      <c r="J351" s="97" t="n"/>
      <c r="K351" s="97" t="n"/>
      <c r="L351" s="97" t="n"/>
      <c r="M351" s="97" t="n"/>
      <c r="N351" s="97" t="n"/>
      <c r="O351" s="97" t="n"/>
      <c r="P351" s="97" t="n"/>
    </row>
    <row r="352" ht="15.75" customHeight="1" s="105">
      <c r="B352" s="97" t="n"/>
      <c r="D352" s="97" t="n"/>
      <c r="E352" s="97" t="n"/>
      <c r="F352" s="97" t="n"/>
      <c r="G352" s="97" t="n"/>
      <c r="H352" s="97" t="n"/>
      <c r="I352" s="97" t="n"/>
      <c r="J352" s="97" t="n"/>
      <c r="K352" s="97" t="n"/>
      <c r="L352" s="97" t="n"/>
      <c r="M352" s="97" t="n"/>
      <c r="N352" s="97" t="n"/>
      <c r="O352" s="97" t="n"/>
      <c r="P352" s="97" t="n"/>
    </row>
    <row r="353" ht="15.75" customHeight="1" s="105">
      <c r="B353" s="97" t="n"/>
      <c r="D353" s="97" t="n"/>
      <c r="E353" s="97" t="n"/>
      <c r="F353" s="97" t="n"/>
      <c r="G353" s="97" t="n"/>
      <c r="H353" s="97" t="n"/>
      <c r="I353" s="97" t="n"/>
      <c r="J353" s="97" t="n"/>
      <c r="K353" s="97" t="n"/>
      <c r="L353" s="97" t="n"/>
      <c r="M353" s="97" t="n"/>
      <c r="N353" s="97" t="n"/>
      <c r="O353" s="97" t="n"/>
      <c r="P353" s="97" t="n"/>
    </row>
    <row r="354" ht="15.75" customHeight="1" s="105">
      <c r="B354" s="97" t="n"/>
      <c r="D354" s="97" t="n"/>
      <c r="E354" s="97" t="n"/>
      <c r="F354" s="97" t="n"/>
      <c r="G354" s="97" t="n"/>
      <c r="H354" s="97" t="n"/>
      <c r="I354" s="97" t="n"/>
      <c r="J354" s="97" t="n"/>
      <c r="K354" s="97" t="n"/>
      <c r="L354" s="97" t="n"/>
      <c r="M354" s="97" t="n"/>
      <c r="N354" s="97" t="n"/>
      <c r="O354" s="97" t="n"/>
      <c r="P354" s="97" t="n"/>
    </row>
    <row r="355" ht="15.75" customHeight="1" s="105">
      <c r="B355" s="97" t="n"/>
      <c r="D355" s="97" t="n"/>
      <c r="E355" s="97" t="n"/>
      <c r="F355" s="97" t="n"/>
      <c r="G355" s="97" t="n"/>
      <c r="H355" s="97" t="n"/>
      <c r="I355" s="97" t="n"/>
      <c r="J355" s="97" t="n"/>
      <c r="K355" s="97" t="n"/>
      <c r="L355" s="97" t="n"/>
      <c r="M355" s="97" t="n"/>
      <c r="N355" s="97" t="n"/>
      <c r="O355" s="97" t="n"/>
      <c r="P355" s="97" t="n"/>
    </row>
    <row r="356" ht="15.75" customHeight="1" s="105">
      <c r="B356" s="97" t="n"/>
      <c r="D356" s="97" t="n"/>
      <c r="E356" s="97" t="n"/>
      <c r="F356" s="97" t="n"/>
      <c r="G356" s="97" t="n"/>
      <c r="H356" s="97" t="n"/>
      <c r="I356" s="97" t="n"/>
      <c r="J356" s="97" t="n"/>
      <c r="K356" s="97" t="n"/>
      <c r="L356" s="97" t="n"/>
      <c r="M356" s="97" t="n"/>
      <c r="N356" s="97" t="n"/>
      <c r="O356" s="97" t="n"/>
      <c r="P356" s="97" t="n"/>
    </row>
    <row r="357" ht="15.75" customHeight="1" s="105">
      <c r="B357" s="97" t="n"/>
      <c r="D357" s="97" t="n"/>
      <c r="E357" s="97" t="n"/>
      <c r="F357" s="97" t="n"/>
      <c r="G357" s="97" t="n"/>
      <c r="H357" s="97" t="n"/>
      <c r="I357" s="97" t="n"/>
      <c r="J357" s="97" t="n"/>
      <c r="K357" s="97" t="n"/>
      <c r="L357" s="97" t="n"/>
      <c r="M357" s="97" t="n"/>
      <c r="N357" s="97" t="n"/>
      <c r="O357" s="97" t="n"/>
      <c r="P357" s="97" t="n"/>
    </row>
    <row r="358" ht="15.75" customHeight="1" s="105">
      <c r="B358" s="97" t="n"/>
      <c r="D358" s="97" t="n"/>
      <c r="E358" s="97" t="n"/>
      <c r="F358" s="97" t="n"/>
      <c r="G358" s="97" t="n"/>
      <c r="H358" s="97" t="n"/>
      <c r="I358" s="97" t="n"/>
      <c r="J358" s="97" t="n"/>
      <c r="K358" s="97" t="n"/>
      <c r="L358" s="97" t="n"/>
      <c r="M358" s="97" t="n"/>
      <c r="N358" s="97" t="n"/>
      <c r="O358" s="97" t="n"/>
      <c r="P358" s="97" t="n"/>
    </row>
    <row r="359" ht="15.75" customHeight="1" s="105">
      <c r="B359" s="97" t="n"/>
      <c r="D359" s="97" t="n"/>
      <c r="E359" s="97" t="n"/>
      <c r="F359" s="97" t="n"/>
      <c r="G359" s="97" t="n"/>
      <c r="H359" s="97" t="n"/>
      <c r="I359" s="97" t="n"/>
      <c r="J359" s="97" t="n"/>
      <c r="K359" s="97" t="n"/>
      <c r="L359" s="97" t="n"/>
      <c r="M359" s="97" t="n"/>
      <c r="N359" s="97" t="n"/>
      <c r="O359" s="97" t="n"/>
      <c r="P359" s="97" t="n"/>
    </row>
    <row r="360" ht="15.75" customHeight="1" s="105">
      <c r="B360" s="97" t="n"/>
      <c r="D360" s="97" t="n"/>
      <c r="E360" s="97" t="n"/>
      <c r="F360" s="97" t="n"/>
      <c r="G360" s="97" t="n"/>
      <c r="H360" s="97" t="n"/>
      <c r="I360" s="97" t="n"/>
      <c r="J360" s="97" t="n"/>
      <c r="K360" s="97" t="n"/>
      <c r="L360" s="97" t="n"/>
      <c r="M360" s="97" t="n"/>
      <c r="N360" s="97" t="n"/>
      <c r="O360" s="97" t="n"/>
      <c r="P360" s="97" t="n"/>
    </row>
    <row r="361" ht="15.75" customHeight="1" s="105">
      <c r="B361" s="97" t="n"/>
      <c r="D361" s="97" t="n"/>
      <c r="E361" s="97" t="n"/>
      <c r="F361" s="97" t="n"/>
      <c r="G361" s="97" t="n"/>
      <c r="H361" s="97" t="n"/>
      <c r="I361" s="97" t="n"/>
      <c r="J361" s="97" t="n"/>
      <c r="K361" s="97" t="n"/>
      <c r="L361" s="97" t="n"/>
      <c r="M361" s="97" t="n"/>
      <c r="N361" s="97" t="n"/>
      <c r="O361" s="97" t="n"/>
      <c r="P361" s="97" t="n"/>
    </row>
    <row r="362" ht="15.75" customHeight="1" s="105">
      <c r="B362" s="97" t="n"/>
      <c r="D362" s="97" t="n"/>
      <c r="E362" s="97" t="n"/>
      <c r="F362" s="97" t="n"/>
      <c r="G362" s="97" t="n"/>
      <c r="H362" s="97" t="n"/>
      <c r="I362" s="97" t="n"/>
      <c r="J362" s="97" t="n"/>
      <c r="K362" s="97" t="n"/>
      <c r="L362" s="97" t="n"/>
      <c r="M362" s="97" t="n"/>
      <c r="N362" s="97" t="n"/>
      <c r="O362" s="97" t="n"/>
      <c r="P362" s="97" t="n"/>
    </row>
    <row r="363" ht="15.75" customHeight="1" s="105">
      <c r="B363" s="97" t="n"/>
      <c r="D363" s="97" t="n"/>
      <c r="E363" s="97" t="n"/>
      <c r="F363" s="97" t="n"/>
      <c r="G363" s="97" t="n"/>
      <c r="H363" s="97" t="n"/>
      <c r="I363" s="97" t="n"/>
      <c r="J363" s="97" t="n"/>
      <c r="K363" s="97" t="n"/>
      <c r="L363" s="97" t="n"/>
      <c r="M363" s="97" t="n"/>
      <c r="N363" s="97" t="n"/>
      <c r="O363" s="97" t="n"/>
      <c r="P363" s="97" t="n"/>
    </row>
    <row r="364" ht="15.75" customHeight="1" s="105">
      <c r="B364" s="97" t="n"/>
      <c r="D364" s="97" t="n"/>
      <c r="E364" s="97" t="n"/>
      <c r="F364" s="97" t="n"/>
      <c r="G364" s="97" t="n"/>
      <c r="H364" s="97" t="n"/>
      <c r="I364" s="97" t="n"/>
      <c r="J364" s="97" t="n"/>
      <c r="K364" s="97" t="n"/>
      <c r="L364" s="97" t="n"/>
      <c r="M364" s="97" t="n"/>
      <c r="N364" s="97" t="n"/>
      <c r="O364" s="97" t="n"/>
      <c r="P364" s="97" t="n"/>
    </row>
    <row r="365" ht="15.75" customHeight="1" s="105">
      <c r="B365" s="97" t="n"/>
      <c r="D365" s="97" t="n"/>
      <c r="E365" s="97" t="n"/>
      <c r="F365" s="97" t="n"/>
      <c r="G365" s="97" t="n"/>
      <c r="H365" s="97" t="n"/>
      <c r="I365" s="97" t="n"/>
      <c r="J365" s="97" t="n"/>
      <c r="K365" s="97" t="n"/>
      <c r="L365" s="97" t="n"/>
      <c r="M365" s="97" t="n"/>
      <c r="N365" s="97" t="n"/>
      <c r="O365" s="97" t="n"/>
      <c r="P365" s="97" t="n"/>
    </row>
    <row r="366" ht="15.75" customHeight="1" s="105">
      <c r="B366" s="97" t="n"/>
      <c r="D366" s="97" t="n"/>
      <c r="E366" s="97" t="n"/>
      <c r="F366" s="97" t="n"/>
      <c r="G366" s="97" t="n"/>
      <c r="H366" s="97" t="n"/>
      <c r="I366" s="97" t="n"/>
      <c r="J366" s="97" t="n"/>
      <c r="K366" s="97" t="n"/>
      <c r="L366" s="97" t="n"/>
      <c r="M366" s="97" t="n"/>
      <c r="N366" s="97" t="n"/>
      <c r="O366" s="97" t="n"/>
      <c r="P366" s="97" t="n"/>
    </row>
    <row r="367" ht="15.75" customHeight="1" s="105">
      <c r="B367" s="97" t="n"/>
      <c r="D367" s="97" t="n"/>
      <c r="E367" s="97" t="n"/>
      <c r="F367" s="97" t="n"/>
      <c r="G367" s="97" t="n"/>
      <c r="H367" s="97" t="n"/>
      <c r="I367" s="97" t="n"/>
      <c r="J367" s="97" t="n"/>
      <c r="K367" s="97" t="n"/>
      <c r="L367" s="97" t="n"/>
      <c r="M367" s="97" t="n"/>
      <c r="N367" s="97" t="n"/>
      <c r="O367" s="97" t="n"/>
      <c r="P367" s="97" t="n"/>
    </row>
    <row r="368" ht="15.75" customHeight="1" s="105">
      <c r="B368" s="97" t="n"/>
      <c r="D368" s="97" t="n"/>
      <c r="E368" s="97" t="n"/>
      <c r="F368" s="97" t="n"/>
      <c r="G368" s="97" t="n"/>
      <c r="H368" s="97" t="n"/>
      <c r="I368" s="97" t="n"/>
      <c r="J368" s="97" t="n"/>
      <c r="K368" s="97" t="n"/>
      <c r="L368" s="97" t="n"/>
      <c r="M368" s="97" t="n"/>
      <c r="N368" s="97" t="n"/>
      <c r="O368" s="97" t="n"/>
      <c r="P368" s="97" t="n"/>
    </row>
    <row r="369" ht="15.75" customHeight="1" s="105">
      <c r="B369" s="97" t="n"/>
      <c r="D369" s="97" t="n"/>
      <c r="E369" s="97" t="n"/>
      <c r="F369" s="97" t="n"/>
      <c r="G369" s="97" t="n"/>
      <c r="H369" s="97" t="n"/>
      <c r="I369" s="97" t="n"/>
      <c r="J369" s="97" t="n"/>
      <c r="K369" s="97" t="n"/>
      <c r="L369" s="97" t="n"/>
      <c r="M369" s="97" t="n"/>
      <c r="N369" s="97" t="n"/>
      <c r="O369" s="97" t="n"/>
      <c r="P369" s="97" t="n"/>
    </row>
    <row r="370" ht="15.75" customHeight="1" s="105">
      <c r="B370" s="97" t="n"/>
      <c r="D370" s="97" t="n"/>
      <c r="E370" s="97" t="n"/>
      <c r="F370" s="97" t="n"/>
      <c r="G370" s="97" t="n"/>
      <c r="H370" s="97" t="n"/>
      <c r="I370" s="97" t="n"/>
      <c r="J370" s="97" t="n"/>
      <c r="K370" s="97" t="n"/>
      <c r="L370" s="97" t="n"/>
      <c r="M370" s="97" t="n"/>
      <c r="N370" s="97" t="n"/>
      <c r="O370" s="97" t="n"/>
      <c r="P370" s="97" t="n"/>
    </row>
    <row r="371" ht="15.75" customHeight="1" s="105">
      <c r="B371" s="97" t="n"/>
      <c r="D371" s="97" t="n"/>
      <c r="E371" s="97" t="n"/>
      <c r="F371" s="97" t="n"/>
      <c r="G371" s="97" t="n"/>
      <c r="H371" s="97" t="n"/>
      <c r="I371" s="97" t="n"/>
      <c r="J371" s="97" t="n"/>
      <c r="K371" s="97" t="n"/>
      <c r="L371" s="97" t="n"/>
      <c r="M371" s="97" t="n"/>
      <c r="N371" s="97" t="n"/>
      <c r="O371" s="97" t="n"/>
      <c r="P371" s="97" t="n"/>
    </row>
    <row r="372" ht="15.75" customHeight="1" s="105">
      <c r="B372" s="97" t="n"/>
      <c r="D372" s="97" t="n"/>
      <c r="E372" s="97" t="n"/>
      <c r="F372" s="97" t="n"/>
      <c r="G372" s="97" t="n"/>
      <c r="H372" s="97" t="n"/>
      <c r="I372" s="97" t="n"/>
      <c r="J372" s="97" t="n"/>
      <c r="K372" s="97" t="n"/>
      <c r="L372" s="97" t="n"/>
      <c r="M372" s="97" t="n"/>
      <c r="N372" s="97" t="n"/>
      <c r="O372" s="97" t="n"/>
      <c r="P372" s="97" t="n"/>
    </row>
    <row r="373" ht="15.75" customHeight="1" s="105">
      <c r="B373" s="97" t="n"/>
      <c r="D373" s="97" t="n"/>
      <c r="E373" s="97" t="n"/>
      <c r="F373" s="97" t="n"/>
      <c r="G373" s="97" t="n"/>
      <c r="H373" s="97" t="n"/>
      <c r="I373" s="97" t="n"/>
      <c r="J373" s="97" t="n"/>
      <c r="K373" s="97" t="n"/>
      <c r="L373" s="97" t="n"/>
      <c r="M373" s="97" t="n"/>
      <c r="N373" s="97" t="n"/>
      <c r="O373" s="97" t="n"/>
      <c r="P373" s="97" t="n"/>
    </row>
    <row r="374" ht="15.75" customHeight="1" s="105">
      <c r="B374" s="97" t="n"/>
      <c r="D374" s="97" t="n"/>
      <c r="E374" s="97" t="n"/>
      <c r="F374" s="97" t="n"/>
      <c r="G374" s="97" t="n"/>
      <c r="H374" s="97" t="n"/>
      <c r="I374" s="97" t="n"/>
      <c r="J374" s="97" t="n"/>
      <c r="K374" s="97" t="n"/>
      <c r="L374" s="97" t="n"/>
      <c r="M374" s="97" t="n"/>
      <c r="N374" s="97" t="n"/>
      <c r="O374" s="97" t="n"/>
      <c r="P374" s="97" t="n"/>
    </row>
    <row r="375" ht="15.75" customHeight="1" s="105">
      <c r="B375" s="97" t="n"/>
      <c r="D375" s="97" t="n"/>
      <c r="E375" s="97" t="n"/>
      <c r="F375" s="97" t="n"/>
      <c r="G375" s="97" t="n"/>
      <c r="H375" s="97" t="n"/>
      <c r="I375" s="97" t="n"/>
      <c r="J375" s="97" t="n"/>
      <c r="K375" s="97" t="n"/>
      <c r="L375" s="97" t="n"/>
      <c r="M375" s="97" t="n"/>
      <c r="N375" s="97" t="n"/>
      <c r="O375" s="97" t="n"/>
      <c r="P375" s="97" t="n"/>
    </row>
    <row r="376" ht="15.75" customHeight="1" s="105">
      <c r="B376" s="97" t="n"/>
      <c r="D376" s="97" t="n"/>
      <c r="E376" s="97" t="n"/>
      <c r="F376" s="97" t="n"/>
      <c r="G376" s="97" t="n"/>
      <c r="H376" s="97" t="n"/>
      <c r="I376" s="97" t="n"/>
      <c r="J376" s="97" t="n"/>
      <c r="K376" s="97" t="n"/>
      <c r="L376" s="97" t="n"/>
      <c r="M376" s="97" t="n"/>
      <c r="N376" s="97" t="n"/>
      <c r="O376" s="97" t="n"/>
      <c r="P376" s="97" t="n"/>
    </row>
    <row r="377" ht="15.75" customHeight="1" s="105">
      <c r="B377" s="97" t="n"/>
      <c r="D377" s="97" t="n"/>
      <c r="E377" s="97" t="n"/>
      <c r="F377" s="97" t="n"/>
      <c r="G377" s="97" t="n"/>
      <c r="H377" s="97" t="n"/>
      <c r="I377" s="97" t="n"/>
      <c r="J377" s="97" t="n"/>
      <c r="K377" s="97" t="n"/>
      <c r="L377" s="97" t="n"/>
      <c r="M377" s="97" t="n"/>
      <c r="N377" s="97" t="n"/>
      <c r="O377" s="97" t="n"/>
      <c r="P377" s="97" t="n"/>
    </row>
    <row r="378" ht="15.75" customHeight="1" s="105">
      <c r="B378" s="97" t="n"/>
      <c r="D378" s="97" t="n"/>
      <c r="E378" s="97" t="n"/>
      <c r="F378" s="97" t="n"/>
      <c r="G378" s="97" t="n"/>
      <c r="H378" s="97" t="n"/>
      <c r="I378" s="97" t="n"/>
      <c r="J378" s="97" t="n"/>
      <c r="K378" s="97" t="n"/>
      <c r="L378" s="97" t="n"/>
      <c r="M378" s="97" t="n"/>
      <c r="N378" s="97" t="n"/>
      <c r="O378" s="97" t="n"/>
      <c r="P378" s="97" t="n"/>
    </row>
    <row r="379" ht="15.75" customHeight="1" s="105">
      <c r="B379" s="97" t="n"/>
      <c r="D379" s="97" t="n"/>
      <c r="E379" s="97" t="n"/>
      <c r="F379" s="97" t="n"/>
      <c r="G379" s="97" t="n"/>
      <c r="H379" s="97" t="n"/>
      <c r="I379" s="97" t="n"/>
      <c r="J379" s="97" t="n"/>
      <c r="K379" s="97" t="n"/>
      <c r="L379" s="97" t="n"/>
      <c r="M379" s="97" t="n"/>
      <c r="N379" s="97" t="n"/>
      <c r="O379" s="97" t="n"/>
      <c r="P379" s="97" t="n"/>
    </row>
    <row r="380" ht="15.75" customHeight="1" s="105">
      <c r="B380" s="97" t="n"/>
      <c r="D380" s="97" t="n"/>
      <c r="E380" s="97" t="n"/>
      <c r="F380" s="97" t="n"/>
      <c r="G380" s="97" t="n"/>
      <c r="H380" s="97" t="n"/>
      <c r="I380" s="97" t="n"/>
      <c r="J380" s="97" t="n"/>
      <c r="K380" s="97" t="n"/>
      <c r="L380" s="97" t="n"/>
      <c r="M380" s="97" t="n"/>
      <c r="N380" s="97" t="n"/>
      <c r="O380" s="97" t="n"/>
      <c r="P380" s="97" t="n"/>
    </row>
    <row r="381" ht="15.75" customHeight="1" s="105">
      <c r="B381" s="97" t="n"/>
      <c r="D381" s="97" t="n"/>
      <c r="E381" s="97" t="n"/>
      <c r="F381" s="97" t="n"/>
      <c r="G381" s="97" t="n"/>
      <c r="H381" s="97" t="n"/>
      <c r="I381" s="97" t="n"/>
      <c r="J381" s="97" t="n"/>
      <c r="K381" s="97" t="n"/>
      <c r="L381" s="97" t="n"/>
      <c r="M381" s="97" t="n"/>
      <c r="N381" s="97" t="n"/>
      <c r="O381" s="97" t="n"/>
      <c r="P381" s="97" t="n"/>
    </row>
    <row r="382" ht="15.75" customHeight="1" s="105">
      <c r="B382" s="97" t="n"/>
      <c r="D382" s="97" t="n"/>
      <c r="E382" s="97" t="n"/>
      <c r="F382" s="97" t="n"/>
      <c r="G382" s="97" t="n"/>
      <c r="H382" s="97" t="n"/>
      <c r="I382" s="97" t="n"/>
      <c r="J382" s="97" t="n"/>
      <c r="K382" s="97" t="n"/>
      <c r="L382" s="97" t="n"/>
      <c r="M382" s="97" t="n"/>
      <c r="N382" s="97" t="n"/>
      <c r="O382" s="97" t="n"/>
      <c r="P382" s="97" t="n"/>
    </row>
    <row r="383" ht="15.75" customHeight="1" s="105">
      <c r="B383" s="97" t="n"/>
      <c r="D383" s="97" t="n"/>
      <c r="E383" s="97" t="n"/>
      <c r="F383" s="97" t="n"/>
      <c r="G383" s="97" t="n"/>
      <c r="H383" s="97" t="n"/>
      <c r="I383" s="97" t="n"/>
      <c r="J383" s="97" t="n"/>
      <c r="K383" s="97" t="n"/>
      <c r="L383" s="97" t="n"/>
      <c r="M383" s="97" t="n"/>
      <c r="N383" s="97" t="n"/>
      <c r="O383" s="97" t="n"/>
      <c r="P383" s="97" t="n"/>
    </row>
    <row r="384" ht="15.75" customHeight="1" s="105">
      <c r="B384" s="97" t="n"/>
      <c r="D384" s="97" t="n"/>
      <c r="E384" s="97" t="n"/>
      <c r="F384" s="97" t="n"/>
      <c r="G384" s="97" t="n"/>
      <c r="H384" s="97" t="n"/>
      <c r="I384" s="97" t="n"/>
      <c r="J384" s="97" t="n"/>
      <c r="K384" s="97" t="n"/>
      <c r="L384" s="97" t="n"/>
      <c r="M384" s="97" t="n"/>
      <c r="N384" s="97" t="n"/>
      <c r="O384" s="97" t="n"/>
      <c r="P384" s="97" t="n"/>
    </row>
    <row r="385" ht="15.75" customHeight="1" s="105">
      <c r="B385" s="97" t="n"/>
      <c r="D385" s="97" t="n"/>
      <c r="E385" s="97" t="n"/>
      <c r="F385" s="97" t="n"/>
      <c r="G385" s="97" t="n"/>
      <c r="H385" s="97" t="n"/>
      <c r="I385" s="97" t="n"/>
      <c r="J385" s="97" t="n"/>
      <c r="K385" s="97" t="n"/>
      <c r="L385" s="97" t="n"/>
      <c r="M385" s="97" t="n"/>
      <c r="N385" s="97" t="n"/>
      <c r="O385" s="97" t="n"/>
      <c r="P385" s="97" t="n"/>
    </row>
    <row r="386" ht="15.75" customHeight="1" s="105">
      <c r="B386" s="97" t="n"/>
      <c r="D386" s="97" t="n"/>
      <c r="E386" s="97" t="n"/>
      <c r="F386" s="97" t="n"/>
      <c r="G386" s="97" t="n"/>
      <c r="H386" s="97" t="n"/>
      <c r="I386" s="97" t="n"/>
      <c r="J386" s="97" t="n"/>
      <c r="K386" s="97" t="n"/>
      <c r="L386" s="97" t="n"/>
      <c r="M386" s="97" t="n"/>
      <c r="N386" s="97" t="n"/>
      <c r="O386" s="97" t="n"/>
      <c r="P386" s="97" t="n"/>
    </row>
    <row r="387" ht="15.75" customHeight="1" s="105">
      <c r="B387" s="97" t="n"/>
      <c r="D387" s="97" t="n"/>
      <c r="E387" s="97" t="n"/>
      <c r="F387" s="97" t="n"/>
      <c r="G387" s="97" t="n"/>
      <c r="H387" s="97" t="n"/>
      <c r="I387" s="97" t="n"/>
      <c r="J387" s="97" t="n"/>
      <c r="K387" s="97" t="n"/>
      <c r="L387" s="97" t="n"/>
      <c r="M387" s="97" t="n"/>
      <c r="N387" s="97" t="n"/>
      <c r="O387" s="97" t="n"/>
      <c r="P387" s="97" t="n"/>
    </row>
    <row r="388" ht="15.75" customHeight="1" s="105">
      <c r="B388" s="97" t="n"/>
      <c r="D388" s="97" t="n"/>
      <c r="E388" s="97" t="n"/>
      <c r="F388" s="97" t="n"/>
      <c r="G388" s="97" t="n"/>
      <c r="H388" s="97" t="n"/>
      <c r="I388" s="97" t="n"/>
      <c r="J388" s="97" t="n"/>
      <c r="K388" s="97" t="n"/>
      <c r="L388" s="97" t="n"/>
      <c r="M388" s="97" t="n"/>
      <c r="N388" s="97" t="n"/>
      <c r="O388" s="97" t="n"/>
      <c r="P388" s="97" t="n"/>
    </row>
    <row r="389" ht="15.75" customHeight="1" s="105">
      <c r="B389" s="97" t="n"/>
      <c r="D389" s="97" t="n"/>
      <c r="E389" s="97" t="n"/>
      <c r="F389" s="97" t="n"/>
      <c r="G389" s="97" t="n"/>
      <c r="H389" s="97" t="n"/>
      <c r="I389" s="97" t="n"/>
      <c r="J389" s="97" t="n"/>
      <c r="K389" s="97" t="n"/>
      <c r="L389" s="97" t="n"/>
      <c r="M389" s="97" t="n"/>
      <c r="N389" s="97" t="n"/>
      <c r="O389" s="97" t="n"/>
      <c r="P389" s="97" t="n"/>
    </row>
    <row r="390" ht="15.75" customHeight="1" s="105">
      <c r="B390" s="97" t="n"/>
      <c r="D390" s="97" t="n"/>
      <c r="E390" s="97" t="n"/>
      <c r="F390" s="97" t="n"/>
      <c r="G390" s="97" t="n"/>
      <c r="H390" s="97" t="n"/>
      <c r="I390" s="97" t="n"/>
      <c r="J390" s="97" t="n"/>
      <c r="K390" s="97" t="n"/>
      <c r="L390" s="97" t="n"/>
      <c r="M390" s="97" t="n"/>
      <c r="N390" s="97" t="n"/>
      <c r="O390" s="97" t="n"/>
      <c r="P390" s="97" t="n"/>
    </row>
    <row r="391" ht="15.75" customHeight="1" s="105">
      <c r="B391" s="97" t="n"/>
      <c r="D391" s="97" t="n"/>
      <c r="E391" s="97" t="n"/>
      <c r="F391" s="97" t="n"/>
      <c r="G391" s="97" t="n"/>
      <c r="H391" s="97" t="n"/>
      <c r="I391" s="97" t="n"/>
      <c r="J391" s="97" t="n"/>
      <c r="K391" s="97" t="n"/>
      <c r="L391" s="97" t="n"/>
      <c r="M391" s="97" t="n"/>
      <c r="N391" s="97" t="n"/>
      <c r="O391" s="97" t="n"/>
      <c r="P391" s="97" t="n"/>
    </row>
    <row r="392" ht="15.75" customHeight="1" s="105">
      <c r="B392" s="97" t="n"/>
      <c r="D392" s="97" t="n"/>
      <c r="E392" s="97" t="n"/>
      <c r="F392" s="97" t="n"/>
      <c r="G392" s="97" t="n"/>
      <c r="H392" s="97" t="n"/>
      <c r="I392" s="97" t="n"/>
      <c r="J392" s="97" t="n"/>
      <c r="K392" s="97" t="n"/>
      <c r="L392" s="97" t="n"/>
      <c r="M392" s="97" t="n"/>
      <c r="N392" s="97" t="n"/>
      <c r="O392" s="97" t="n"/>
      <c r="P392" s="97" t="n"/>
    </row>
    <row r="393" ht="15.75" customHeight="1" s="105">
      <c r="B393" s="97" t="n"/>
      <c r="D393" s="97" t="n"/>
      <c r="E393" s="97" t="n"/>
      <c r="F393" s="97" t="n"/>
      <c r="G393" s="97" t="n"/>
      <c r="H393" s="97" t="n"/>
      <c r="I393" s="97" t="n"/>
      <c r="J393" s="97" t="n"/>
      <c r="K393" s="97" t="n"/>
      <c r="L393" s="97" t="n"/>
      <c r="M393" s="97" t="n"/>
      <c r="N393" s="97" t="n"/>
      <c r="O393" s="97" t="n"/>
      <c r="P393" s="97" t="n"/>
    </row>
    <row r="394" ht="15.75" customHeight="1" s="105">
      <c r="B394" s="97" t="n"/>
      <c r="D394" s="97" t="n"/>
      <c r="E394" s="97" t="n"/>
      <c r="F394" s="97" t="n"/>
      <c r="G394" s="97" t="n"/>
      <c r="H394" s="97" t="n"/>
      <c r="I394" s="97" t="n"/>
      <c r="J394" s="97" t="n"/>
      <c r="K394" s="97" t="n"/>
      <c r="L394" s="97" t="n"/>
      <c r="M394" s="97" t="n"/>
      <c r="N394" s="97" t="n"/>
      <c r="O394" s="97" t="n"/>
      <c r="P394" s="97" t="n"/>
    </row>
    <row r="395" ht="15.75" customHeight="1" s="105">
      <c r="B395" s="97" t="n"/>
      <c r="D395" s="97" t="n"/>
      <c r="E395" s="97" t="n"/>
      <c r="F395" s="97" t="n"/>
      <c r="G395" s="97" t="n"/>
      <c r="H395" s="97" t="n"/>
      <c r="I395" s="97" t="n"/>
      <c r="J395" s="97" t="n"/>
      <c r="K395" s="97" t="n"/>
      <c r="L395" s="97" t="n"/>
      <c r="M395" s="97" t="n"/>
      <c r="N395" s="97" t="n"/>
      <c r="O395" s="97" t="n"/>
      <c r="P395" s="97" t="n"/>
    </row>
    <row r="396" ht="15.75" customHeight="1" s="105">
      <c r="B396" s="97" t="n"/>
      <c r="D396" s="97" t="n"/>
      <c r="E396" s="97" t="n"/>
      <c r="F396" s="97" t="n"/>
      <c r="G396" s="97" t="n"/>
      <c r="H396" s="97" t="n"/>
      <c r="I396" s="97" t="n"/>
      <c r="J396" s="97" t="n"/>
      <c r="K396" s="97" t="n"/>
      <c r="L396" s="97" t="n"/>
      <c r="M396" s="97" t="n"/>
      <c r="N396" s="97" t="n"/>
      <c r="O396" s="97" t="n"/>
      <c r="P396" s="97" t="n"/>
    </row>
    <row r="397" ht="15.75" customHeight="1" s="105">
      <c r="B397" s="97" t="n"/>
      <c r="D397" s="97" t="n"/>
      <c r="E397" s="97" t="n"/>
      <c r="F397" s="97" t="n"/>
      <c r="G397" s="97" t="n"/>
      <c r="H397" s="97" t="n"/>
      <c r="I397" s="97" t="n"/>
      <c r="J397" s="97" t="n"/>
      <c r="K397" s="97" t="n"/>
      <c r="L397" s="97" t="n"/>
      <c r="M397" s="97" t="n"/>
      <c r="N397" s="97" t="n"/>
      <c r="O397" s="97" t="n"/>
      <c r="P397" s="97" t="n"/>
    </row>
    <row r="398" ht="15.75" customHeight="1" s="105">
      <c r="B398" s="97" t="n"/>
      <c r="D398" s="97" t="n"/>
      <c r="E398" s="97" t="n"/>
      <c r="F398" s="97" t="n"/>
      <c r="G398" s="97" t="n"/>
      <c r="H398" s="97" t="n"/>
      <c r="I398" s="97" t="n"/>
      <c r="J398" s="97" t="n"/>
      <c r="K398" s="97" t="n"/>
      <c r="L398" s="97" t="n"/>
      <c r="M398" s="97" t="n"/>
      <c r="N398" s="97" t="n"/>
      <c r="O398" s="97" t="n"/>
      <c r="P398" s="97" t="n"/>
    </row>
    <row r="399" ht="15.75" customHeight="1" s="105">
      <c r="B399" s="97" t="n"/>
      <c r="D399" s="97" t="n"/>
      <c r="E399" s="97" t="n"/>
      <c r="F399" s="97" t="n"/>
      <c r="G399" s="97" t="n"/>
      <c r="H399" s="97" t="n"/>
      <c r="I399" s="97" t="n"/>
      <c r="J399" s="97" t="n"/>
      <c r="K399" s="97" t="n"/>
      <c r="L399" s="97" t="n"/>
      <c r="M399" s="97" t="n"/>
      <c r="N399" s="97" t="n"/>
      <c r="O399" s="97" t="n"/>
      <c r="P399" s="97" t="n"/>
    </row>
    <row r="400" ht="15.75" customHeight="1" s="105">
      <c r="B400" s="97" t="n"/>
      <c r="D400" s="97" t="n"/>
      <c r="E400" s="97" t="n"/>
      <c r="F400" s="97" t="n"/>
      <c r="G400" s="97" t="n"/>
      <c r="H400" s="97" t="n"/>
      <c r="I400" s="97" t="n"/>
      <c r="J400" s="97" t="n"/>
      <c r="K400" s="97" t="n"/>
      <c r="L400" s="97" t="n"/>
      <c r="M400" s="97" t="n"/>
      <c r="N400" s="97" t="n"/>
      <c r="O400" s="97" t="n"/>
      <c r="P400" s="97" t="n"/>
    </row>
    <row r="401" ht="15.75" customHeight="1" s="105">
      <c r="B401" s="97" t="n"/>
      <c r="D401" s="97" t="n"/>
      <c r="E401" s="97" t="n"/>
      <c r="F401" s="97" t="n"/>
      <c r="G401" s="97" t="n"/>
      <c r="H401" s="97" t="n"/>
      <c r="I401" s="97" t="n"/>
      <c r="J401" s="97" t="n"/>
      <c r="K401" s="97" t="n"/>
      <c r="L401" s="97" t="n"/>
      <c r="M401" s="97" t="n"/>
      <c r="N401" s="97" t="n"/>
      <c r="O401" s="97" t="n"/>
      <c r="P401" s="97" t="n"/>
    </row>
    <row r="402" ht="15.75" customHeight="1" s="105">
      <c r="B402" s="97" t="n"/>
      <c r="D402" s="97" t="n"/>
      <c r="E402" s="97" t="n"/>
      <c r="F402" s="97" t="n"/>
      <c r="G402" s="97" t="n"/>
      <c r="H402" s="97" t="n"/>
      <c r="I402" s="97" t="n"/>
      <c r="J402" s="97" t="n"/>
      <c r="K402" s="97" t="n"/>
      <c r="L402" s="97" t="n"/>
      <c r="M402" s="97" t="n"/>
      <c r="N402" s="97" t="n"/>
      <c r="O402" s="97" t="n"/>
      <c r="P402" s="97" t="n"/>
    </row>
    <row r="403" ht="15.75" customHeight="1" s="105">
      <c r="B403" s="97" t="n"/>
      <c r="D403" s="97" t="n"/>
      <c r="E403" s="97" t="n"/>
      <c r="F403" s="97" t="n"/>
      <c r="G403" s="97" t="n"/>
      <c r="H403" s="97" t="n"/>
      <c r="I403" s="97" t="n"/>
      <c r="J403" s="97" t="n"/>
      <c r="K403" s="97" t="n"/>
      <c r="L403" s="97" t="n"/>
      <c r="M403" s="97" t="n"/>
      <c r="N403" s="97" t="n"/>
      <c r="O403" s="97" t="n"/>
      <c r="P403" s="97" t="n"/>
    </row>
    <row r="404" ht="15.75" customHeight="1" s="105">
      <c r="B404" s="97" t="n"/>
      <c r="D404" s="97" t="n"/>
      <c r="E404" s="97" t="n"/>
      <c r="F404" s="97" t="n"/>
      <c r="G404" s="97" t="n"/>
      <c r="H404" s="97" t="n"/>
      <c r="I404" s="97" t="n"/>
      <c r="J404" s="97" t="n"/>
      <c r="K404" s="97" t="n"/>
      <c r="L404" s="97" t="n"/>
      <c r="M404" s="97" t="n"/>
      <c r="N404" s="97" t="n"/>
      <c r="O404" s="97" t="n"/>
      <c r="P404" s="97" t="n"/>
    </row>
    <row r="405" ht="15.75" customHeight="1" s="105">
      <c r="B405" s="97" t="n"/>
      <c r="D405" s="97" t="n"/>
      <c r="E405" s="97" t="n"/>
      <c r="F405" s="97" t="n"/>
      <c r="G405" s="97" t="n"/>
      <c r="H405" s="97" t="n"/>
      <c r="I405" s="97" t="n"/>
      <c r="J405" s="97" t="n"/>
      <c r="K405" s="97" t="n"/>
      <c r="L405" s="97" t="n"/>
      <c r="M405" s="97" t="n"/>
      <c r="N405" s="97" t="n"/>
      <c r="O405" s="97" t="n"/>
      <c r="P405" s="97" t="n"/>
    </row>
    <row r="406" ht="15.75" customHeight="1" s="105">
      <c r="B406" s="97" t="n"/>
      <c r="D406" s="97" t="n"/>
      <c r="E406" s="97" t="n"/>
      <c r="F406" s="97" t="n"/>
      <c r="G406" s="97" t="n"/>
      <c r="H406" s="97" t="n"/>
      <c r="I406" s="97" t="n"/>
      <c r="J406" s="97" t="n"/>
      <c r="K406" s="97" t="n"/>
      <c r="L406" s="97" t="n"/>
      <c r="M406" s="97" t="n"/>
      <c r="N406" s="97" t="n"/>
      <c r="O406" s="97" t="n"/>
      <c r="P406" s="97" t="n"/>
    </row>
    <row r="407" ht="15.75" customHeight="1" s="105">
      <c r="B407" s="97" t="n"/>
      <c r="D407" s="97" t="n"/>
      <c r="E407" s="97" t="n"/>
      <c r="F407" s="97" t="n"/>
      <c r="G407" s="97" t="n"/>
      <c r="H407" s="97" t="n"/>
      <c r="I407" s="97" t="n"/>
      <c r="J407" s="97" t="n"/>
      <c r="K407" s="97" t="n"/>
      <c r="L407" s="97" t="n"/>
      <c r="M407" s="97" t="n"/>
      <c r="N407" s="97" t="n"/>
      <c r="O407" s="97" t="n"/>
      <c r="P407" s="97" t="n"/>
    </row>
    <row r="408" ht="15.75" customHeight="1" s="105">
      <c r="B408" s="97" t="n"/>
      <c r="D408" s="97" t="n"/>
      <c r="E408" s="97" t="n"/>
      <c r="F408" s="97" t="n"/>
      <c r="G408" s="97" t="n"/>
      <c r="H408" s="97" t="n"/>
      <c r="I408" s="97" t="n"/>
      <c r="J408" s="97" t="n"/>
      <c r="K408" s="97" t="n"/>
      <c r="L408" s="97" t="n"/>
      <c r="M408" s="97" t="n"/>
      <c r="N408" s="97" t="n"/>
      <c r="O408" s="97" t="n"/>
      <c r="P408" s="97" t="n"/>
    </row>
    <row r="409" ht="15.75" customHeight="1" s="105">
      <c r="B409" s="97" t="n"/>
      <c r="D409" s="97" t="n"/>
      <c r="E409" s="97" t="n"/>
      <c r="F409" s="97" t="n"/>
      <c r="G409" s="97" t="n"/>
      <c r="H409" s="97" t="n"/>
      <c r="I409" s="97" t="n"/>
      <c r="J409" s="97" t="n"/>
      <c r="K409" s="97" t="n"/>
      <c r="L409" s="97" t="n"/>
      <c r="M409" s="97" t="n"/>
      <c r="N409" s="97" t="n"/>
      <c r="O409" s="97" t="n"/>
      <c r="P409" s="97" t="n"/>
    </row>
    <row r="410" ht="15.75" customHeight="1" s="105">
      <c r="B410" s="97" t="n"/>
      <c r="D410" s="97" t="n"/>
      <c r="E410" s="97" t="n"/>
      <c r="F410" s="97" t="n"/>
      <c r="G410" s="97" t="n"/>
      <c r="H410" s="97" t="n"/>
      <c r="I410" s="97" t="n"/>
      <c r="J410" s="97" t="n"/>
      <c r="K410" s="97" t="n"/>
      <c r="L410" s="97" t="n"/>
      <c r="M410" s="97" t="n"/>
      <c r="N410" s="97" t="n"/>
      <c r="O410" s="97" t="n"/>
      <c r="P410" s="97" t="n"/>
    </row>
    <row r="411" ht="15.75" customHeight="1" s="105">
      <c r="B411" s="97" t="n"/>
      <c r="D411" s="97" t="n"/>
      <c r="E411" s="97" t="n"/>
      <c r="F411" s="97" t="n"/>
      <c r="G411" s="97" t="n"/>
      <c r="H411" s="97" t="n"/>
      <c r="I411" s="97" t="n"/>
      <c r="J411" s="97" t="n"/>
      <c r="K411" s="97" t="n"/>
      <c r="L411" s="97" t="n"/>
      <c r="M411" s="97" t="n"/>
      <c r="N411" s="97" t="n"/>
      <c r="O411" s="97" t="n"/>
      <c r="P411" s="97" t="n"/>
    </row>
    <row r="412" ht="15.75" customHeight="1" s="105">
      <c r="B412" s="97" t="n"/>
      <c r="D412" s="97" t="n"/>
      <c r="E412" s="97" t="n"/>
      <c r="F412" s="97" t="n"/>
      <c r="G412" s="97" t="n"/>
      <c r="H412" s="97" t="n"/>
      <c r="I412" s="97" t="n"/>
      <c r="J412" s="97" t="n"/>
      <c r="K412" s="97" t="n"/>
      <c r="L412" s="97" t="n"/>
      <c r="M412" s="97" t="n"/>
      <c r="N412" s="97" t="n"/>
      <c r="O412" s="97" t="n"/>
      <c r="P412" s="97" t="n"/>
    </row>
    <row r="413" ht="15.75" customHeight="1" s="105">
      <c r="B413" s="97" t="n"/>
      <c r="D413" s="97" t="n"/>
      <c r="E413" s="97" t="n"/>
      <c r="F413" s="97" t="n"/>
      <c r="G413" s="97" t="n"/>
      <c r="H413" s="97" t="n"/>
      <c r="I413" s="97" t="n"/>
      <c r="J413" s="97" t="n"/>
      <c r="K413" s="97" t="n"/>
      <c r="L413" s="97" t="n"/>
      <c r="M413" s="97" t="n"/>
      <c r="N413" s="97" t="n"/>
      <c r="O413" s="97" t="n"/>
      <c r="P413" s="97" t="n"/>
    </row>
    <row r="414" ht="15.75" customHeight="1" s="105">
      <c r="B414" s="97" t="n"/>
      <c r="D414" s="97" t="n"/>
      <c r="E414" s="97" t="n"/>
      <c r="F414" s="97" t="n"/>
      <c r="G414" s="97" t="n"/>
      <c r="H414" s="97" t="n"/>
      <c r="I414" s="97" t="n"/>
      <c r="J414" s="97" t="n"/>
      <c r="K414" s="97" t="n"/>
      <c r="L414" s="97" t="n"/>
      <c r="M414" s="97" t="n"/>
      <c r="N414" s="97" t="n"/>
      <c r="O414" s="97" t="n"/>
      <c r="P414" s="97" t="n"/>
    </row>
    <row r="415" ht="15.75" customHeight="1" s="105">
      <c r="B415" s="97" t="n"/>
      <c r="D415" s="97" t="n"/>
      <c r="E415" s="97" t="n"/>
      <c r="F415" s="97" t="n"/>
      <c r="G415" s="97" t="n"/>
      <c r="H415" s="97" t="n"/>
      <c r="I415" s="97" t="n"/>
      <c r="J415" s="97" t="n"/>
      <c r="K415" s="97" t="n"/>
      <c r="L415" s="97" t="n"/>
      <c r="M415" s="97" t="n"/>
      <c r="N415" s="97" t="n"/>
      <c r="O415" s="97" t="n"/>
      <c r="P415" s="97" t="n"/>
    </row>
    <row r="416" ht="15.75" customHeight="1" s="105">
      <c r="B416" s="97" t="n"/>
      <c r="D416" s="97" t="n"/>
      <c r="E416" s="97" t="n"/>
      <c r="F416" s="97" t="n"/>
      <c r="G416" s="97" t="n"/>
      <c r="H416" s="97" t="n"/>
      <c r="I416" s="97" t="n"/>
      <c r="J416" s="97" t="n"/>
      <c r="K416" s="97" t="n"/>
      <c r="L416" s="97" t="n"/>
      <c r="M416" s="97" t="n"/>
      <c r="N416" s="97" t="n"/>
      <c r="O416" s="97" t="n"/>
      <c r="P416" s="97" t="n"/>
    </row>
    <row r="417" ht="15.75" customHeight="1" s="105">
      <c r="B417" s="97" t="n"/>
      <c r="D417" s="97" t="n"/>
      <c r="E417" s="97" t="n"/>
      <c r="F417" s="97" t="n"/>
      <c r="G417" s="97" t="n"/>
      <c r="H417" s="97" t="n"/>
      <c r="I417" s="97" t="n"/>
      <c r="J417" s="97" t="n"/>
      <c r="K417" s="97" t="n"/>
      <c r="L417" s="97" t="n"/>
      <c r="M417" s="97" t="n"/>
      <c r="N417" s="97" t="n"/>
      <c r="O417" s="97" t="n"/>
      <c r="P417" s="97" t="n"/>
    </row>
    <row r="418" ht="15.75" customHeight="1" s="105">
      <c r="B418" s="97" t="n"/>
      <c r="D418" s="97" t="n"/>
      <c r="E418" s="97" t="n"/>
      <c r="F418" s="97" t="n"/>
      <c r="G418" s="97" t="n"/>
      <c r="H418" s="97" t="n"/>
      <c r="I418" s="97" t="n"/>
      <c r="J418" s="97" t="n"/>
      <c r="K418" s="97" t="n"/>
      <c r="L418" s="97" t="n"/>
      <c r="M418" s="97" t="n"/>
      <c r="N418" s="97" t="n"/>
      <c r="O418" s="97" t="n"/>
      <c r="P418" s="97" t="n"/>
    </row>
    <row r="419" ht="15.75" customHeight="1" s="105">
      <c r="B419" s="97" t="n"/>
      <c r="D419" s="97" t="n"/>
      <c r="E419" s="97" t="n"/>
      <c r="F419" s="97" t="n"/>
      <c r="G419" s="97" t="n"/>
      <c r="H419" s="97" t="n"/>
      <c r="I419" s="97" t="n"/>
      <c r="J419" s="97" t="n"/>
      <c r="K419" s="97" t="n"/>
      <c r="L419" s="97" t="n"/>
      <c r="M419" s="97" t="n"/>
      <c r="N419" s="97" t="n"/>
      <c r="O419" s="97" t="n"/>
      <c r="P419" s="97" t="n"/>
    </row>
    <row r="420" ht="15.75" customHeight="1" s="105">
      <c r="B420" s="97" t="n"/>
      <c r="D420" s="97" t="n"/>
      <c r="E420" s="97" t="n"/>
      <c r="F420" s="97" t="n"/>
      <c r="G420" s="97" t="n"/>
      <c r="H420" s="97" t="n"/>
      <c r="I420" s="97" t="n"/>
      <c r="J420" s="97" t="n"/>
      <c r="K420" s="97" t="n"/>
      <c r="L420" s="97" t="n"/>
      <c r="M420" s="97" t="n"/>
      <c r="N420" s="97" t="n"/>
      <c r="O420" s="97" t="n"/>
      <c r="P420" s="97" t="n"/>
    </row>
    <row r="421" ht="15.75" customHeight="1" s="105">
      <c r="B421" s="97" t="n"/>
      <c r="D421" s="97" t="n"/>
      <c r="E421" s="97" t="n"/>
      <c r="F421" s="97" t="n"/>
      <c r="G421" s="97" t="n"/>
      <c r="H421" s="97" t="n"/>
      <c r="I421" s="97" t="n"/>
      <c r="J421" s="97" t="n"/>
      <c r="K421" s="97" t="n"/>
      <c r="L421" s="97" t="n"/>
      <c r="M421" s="97" t="n"/>
      <c r="N421" s="97" t="n"/>
      <c r="O421" s="97" t="n"/>
      <c r="P421" s="97" t="n"/>
    </row>
    <row r="422" ht="15.75" customHeight="1" s="105">
      <c r="B422" s="97" t="n"/>
      <c r="D422" s="97" t="n"/>
      <c r="E422" s="97" t="n"/>
      <c r="F422" s="97" t="n"/>
      <c r="G422" s="97" t="n"/>
      <c r="H422" s="97" t="n"/>
      <c r="I422" s="97" t="n"/>
      <c r="J422" s="97" t="n"/>
      <c r="K422" s="97" t="n"/>
      <c r="L422" s="97" t="n"/>
      <c r="M422" s="97" t="n"/>
      <c r="N422" s="97" t="n"/>
      <c r="O422" s="97" t="n"/>
      <c r="P422" s="97" t="n"/>
    </row>
    <row r="423" ht="15.75" customHeight="1" s="105">
      <c r="B423" s="97" t="n"/>
      <c r="D423" s="97" t="n"/>
      <c r="E423" s="97" t="n"/>
      <c r="F423" s="97" t="n"/>
      <c r="G423" s="97" t="n"/>
      <c r="H423" s="97" t="n"/>
      <c r="I423" s="97" t="n"/>
      <c r="J423" s="97" t="n"/>
      <c r="K423" s="97" t="n"/>
      <c r="L423" s="97" t="n"/>
      <c r="M423" s="97" t="n"/>
      <c r="N423" s="97" t="n"/>
      <c r="O423" s="97" t="n"/>
      <c r="P423" s="97" t="n"/>
    </row>
    <row r="424" ht="15.75" customHeight="1" s="105">
      <c r="B424" s="97" t="n"/>
      <c r="D424" s="97" t="n"/>
      <c r="E424" s="97" t="n"/>
      <c r="F424" s="97" t="n"/>
      <c r="G424" s="97" t="n"/>
      <c r="H424" s="97" t="n"/>
      <c r="I424" s="97" t="n"/>
      <c r="J424" s="97" t="n"/>
      <c r="K424" s="97" t="n"/>
      <c r="L424" s="97" t="n"/>
      <c r="M424" s="97" t="n"/>
      <c r="N424" s="97" t="n"/>
      <c r="O424" s="97" t="n"/>
      <c r="P424" s="97" t="n"/>
    </row>
    <row r="425" ht="15.75" customHeight="1" s="105">
      <c r="B425" s="97" t="n"/>
      <c r="D425" s="97" t="n"/>
      <c r="E425" s="97" t="n"/>
      <c r="F425" s="97" t="n"/>
      <c r="G425" s="97" t="n"/>
      <c r="H425" s="97" t="n"/>
      <c r="I425" s="97" t="n"/>
      <c r="J425" s="97" t="n"/>
      <c r="K425" s="97" t="n"/>
      <c r="L425" s="97" t="n"/>
      <c r="M425" s="97" t="n"/>
      <c r="N425" s="97" t="n"/>
      <c r="O425" s="97" t="n"/>
      <c r="P425" s="97" t="n"/>
    </row>
    <row r="426" ht="15.75" customHeight="1" s="105">
      <c r="B426" s="97" t="n"/>
      <c r="D426" s="97" t="n"/>
      <c r="E426" s="97" t="n"/>
      <c r="F426" s="97" t="n"/>
      <c r="G426" s="97" t="n"/>
      <c r="H426" s="97" t="n"/>
      <c r="I426" s="97" t="n"/>
      <c r="J426" s="97" t="n"/>
      <c r="K426" s="97" t="n"/>
      <c r="L426" s="97" t="n"/>
      <c r="M426" s="97" t="n"/>
      <c r="N426" s="97" t="n"/>
      <c r="O426" s="97" t="n"/>
      <c r="P426" s="97" t="n"/>
    </row>
    <row r="427" ht="15.75" customHeight="1" s="105">
      <c r="B427" s="97" t="n"/>
      <c r="D427" s="97" t="n"/>
      <c r="E427" s="97" t="n"/>
      <c r="F427" s="97" t="n"/>
      <c r="G427" s="97" t="n"/>
      <c r="H427" s="97" t="n"/>
      <c r="I427" s="97" t="n"/>
      <c r="J427" s="97" t="n"/>
      <c r="K427" s="97" t="n"/>
      <c r="L427" s="97" t="n"/>
      <c r="M427" s="97" t="n"/>
      <c r="N427" s="97" t="n"/>
      <c r="O427" s="97" t="n"/>
      <c r="P427" s="97" t="n"/>
    </row>
    <row r="428" ht="15.75" customHeight="1" s="105">
      <c r="B428" s="97" t="n"/>
      <c r="D428" s="97" t="n"/>
      <c r="E428" s="97" t="n"/>
      <c r="F428" s="97" t="n"/>
      <c r="G428" s="97" t="n"/>
      <c r="H428" s="97" t="n"/>
      <c r="I428" s="97" t="n"/>
      <c r="J428" s="97" t="n"/>
      <c r="K428" s="97" t="n"/>
      <c r="L428" s="97" t="n"/>
      <c r="M428" s="97" t="n"/>
      <c r="N428" s="97" t="n"/>
      <c r="O428" s="97" t="n"/>
      <c r="P428" s="97" t="n"/>
    </row>
    <row r="429" ht="15.75" customHeight="1" s="105">
      <c r="B429" s="97" t="n"/>
      <c r="D429" s="97" t="n"/>
      <c r="E429" s="97" t="n"/>
      <c r="F429" s="97" t="n"/>
      <c r="G429" s="97" t="n"/>
      <c r="H429" s="97" t="n"/>
      <c r="I429" s="97" t="n"/>
      <c r="J429" s="97" t="n"/>
      <c r="K429" s="97" t="n"/>
      <c r="L429" s="97" t="n"/>
      <c r="M429" s="97" t="n"/>
      <c r="N429" s="97" t="n"/>
      <c r="O429" s="97" t="n"/>
      <c r="P429" s="97" t="n"/>
    </row>
    <row r="430" ht="15.75" customHeight="1" s="105">
      <c r="B430" s="97" t="n"/>
      <c r="D430" s="97" t="n"/>
      <c r="E430" s="97" t="n"/>
      <c r="F430" s="97" t="n"/>
      <c r="G430" s="97" t="n"/>
      <c r="H430" s="97" t="n"/>
      <c r="I430" s="97" t="n"/>
      <c r="J430" s="97" t="n"/>
      <c r="K430" s="97" t="n"/>
      <c r="L430" s="97" t="n"/>
      <c r="M430" s="97" t="n"/>
      <c r="N430" s="97" t="n"/>
      <c r="O430" s="97" t="n"/>
      <c r="P430" s="97" t="n"/>
    </row>
    <row r="431" ht="15.75" customHeight="1" s="105">
      <c r="B431" s="97" t="n"/>
      <c r="D431" s="97" t="n"/>
      <c r="E431" s="97" t="n"/>
      <c r="F431" s="97" t="n"/>
      <c r="G431" s="97" t="n"/>
      <c r="H431" s="97" t="n"/>
      <c r="I431" s="97" t="n"/>
      <c r="J431" s="97" t="n"/>
      <c r="K431" s="97" t="n"/>
      <c r="L431" s="97" t="n"/>
      <c r="M431" s="97" t="n"/>
      <c r="N431" s="97" t="n"/>
      <c r="O431" s="97" t="n"/>
      <c r="P431" s="97" t="n"/>
    </row>
    <row r="432" ht="15.75" customHeight="1" s="105">
      <c r="B432" s="97" t="n"/>
      <c r="D432" s="97" t="n"/>
      <c r="E432" s="97" t="n"/>
      <c r="F432" s="97" t="n"/>
      <c r="G432" s="97" t="n"/>
      <c r="H432" s="97" t="n"/>
      <c r="I432" s="97" t="n"/>
      <c r="J432" s="97" t="n"/>
      <c r="K432" s="97" t="n"/>
      <c r="L432" s="97" t="n"/>
      <c r="M432" s="97" t="n"/>
      <c r="N432" s="97" t="n"/>
      <c r="O432" s="97" t="n"/>
      <c r="P432" s="97" t="n"/>
    </row>
    <row r="433" ht="15.75" customHeight="1" s="105">
      <c r="B433" s="97" t="n"/>
      <c r="D433" s="97" t="n"/>
      <c r="E433" s="97" t="n"/>
      <c r="F433" s="97" t="n"/>
      <c r="G433" s="97" t="n"/>
      <c r="H433" s="97" t="n"/>
      <c r="I433" s="97" t="n"/>
      <c r="J433" s="97" t="n"/>
      <c r="K433" s="97" t="n"/>
      <c r="L433" s="97" t="n"/>
      <c r="M433" s="97" t="n"/>
      <c r="N433" s="97" t="n"/>
      <c r="O433" s="97" t="n"/>
      <c r="P433" s="97" t="n"/>
    </row>
    <row r="434" ht="15.75" customHeight="1" s="105">
      <c r="B434" s="97" t="n"/>
      <c r="D434" s="97" t="n"/>
      <c r="E434" s="97" t="n"/>
      <c r="F434" s="97" t="n"/>
      <c r="G434" s="97" t="n"/>
      <c r="H434" s="97" t="n"/>
      <c r="I434" s="97" t="n"/>
      <c r="J434" s="97" t="n"/>
      <c r="K434" s="97" t="n"/>
      <c r="L434" s="97" t="n"/>
      <c r="M434" s="97" t="n"/>
      <c r="N434" s="97" t="n"/>
      <c r="O434" s="97" t="n"/>
      <c r="P434" s="97" t="n"/>
    </row>
    <row r="435" ht="15.75" customHeight="1" s="105">
      <c r="B435" s="97" t="n"/>
      <c r="D435" s="97" t="n"/>
      <c r="E435" s="97" t="n"/>
      <c r="F435" s="97" t="n"/>
      <c r="G435" s="97" t="n"/>
      <c r="H435" s="97" t="n"/>
      <c r="I435" s="97" t="n"/>
      <c r="J435" s="97" t="n"/>
      <c r="K435" s="97" t="n"/>
      <c r="L435" s="97" t="n"/>
      <c r="M435" s="97" t="n"/>
      <c r="N435" s="97" t="n"/>
      <c r="O435" s="97" t="n"/>
      <c r="P435" s="97" t="n"/>
    </row>
    <row r="436" ht="15.75" customHeight="1" s="105">
      <c r="B436" s="97" t="n"/>
      <c r="D436" s="97" t="n"/>
      <c r="E436" s="97" t="n"/>
      <c r="F436" s="97" t="n"/>
      <c r="G436" s="97" t="n"/>
      <c r="H436" s="97" t="n"/>
      <c r="I436" s="97" t="n"/>
      <c r="J436" s="97" t="n"/>
      <c r="K436" s="97" t="n"/>
      <c r="L436" s="97" t="n"/>
      <c r="M436" s="97" t="n"/>
      <c r="N436" s="97" t="n"/>
      <c r="O436" s="97" t="n"/>
      <c r="P436" s="97" t="n"/>
    </row>
    <row r="437" ht="15.75" customHeight="1" s="105">
      <c r="B437" s="97" t="n"/>
      <c r="D437" s="97" t="n"/>
      <c r="E437" s="97" t="n"/>
      <c r="F437" s="97" t="n"/>
      <c r="G437" s="97" t="n"/>
      <c r="H437" s="97" t="n"/>
      <c r="I437" s="97" t="n"/>
      <c r="J437" s="97" t="n"/>
      <c r="K437" s="97" t="n"/>
      <c r="L437" s="97" t="n"/>
      <c r="M437" s="97" t="n"/>
      <c r="N437" s="97" t="n"/>
      <c r="O437" s="97" t="n"/>
      <c r="P437" s="97" t="n"/>
    </row>
    <row r="438" ht="15.75" customHeight="1" s="105">
      <c r="B438" s="97" t="n"/>
      <c r="D438" s="97" t="n"/>
      <c r="E438" s="97" t="n"/>
      <c r="F438" s="97" t="n"/>
      <c r="G438" s="97" t="n"/>
      <c r="H438" s="97" t="n"/>
      <c r="I438" s="97" t="n"/>
      <c r="J438" s="97" t="n"/>
      <c r="K438" s="97" t="n"/>
      <c r="L438" s="97" t="n"/>
      <c r="M438" s="97" t="n"/>
      <c r="N438" s="97" t="n"/>
      <c r="O438" s="97" t="n"/>
      <c r="P438" s="97" t="n"/>
    </row>
    <row r="439" ht="15.75" customHeight="1" s="105">
      <c r="B439" s="97" t="n"/>
      <c r="D439" s="97" t="n"/>
      <c r="E439" s="97" t="n"/>
      <c r="F439" s="97" t="n"/>
      <c r="G439" s="97" t="n"/>
      <c r="H439" s="97" t="n"/>
      <c r="I439" s="97" t="n"/>
      <c r="J439" s="97" t="n"/>
      <c r="K439" s="97" t="n"/>
      <c r="L439" s="97" t="n"/>
      <c r="M439" s="97" t="n"/>
      <c r="N439" s="97" t="n"/>
      <c r="O439" s="97" t="n"/>
      <c r="P439" s="97" t="n"/>
    </row>
    <row r="440" ht="15.75" customHeight="1" s="105">
      <c r="B440" s="97" t="n"/>
      <c r="D440" s="97" t="n"/>
      <c r="E440" s="97" t="n"/>
      <c r="F440" s="97" t="n"/>
      <c r="G440" s="97" t="n"/>
      <c r="H440" s="97" t="n"/>
      <c r="I440" s="97" t="n"/>
      <c r="J440" s="97" t="n"/>
      <c r="K440" s="97" t="n"/>
      <c r="L440" s="97" t="n"/>
      <c r="M440" s="97" t="n"/>
      <c r="N440" s="97" t="n"/>
      <c r="O440" s="97" t="n"/>
      <c r="P440" s="97" t="n"/>
    </row>
    <row r="441" ht="15.75" customHeight="1" s="105">
      <c r="B441" s="97" t="n"/>
      <c r="D441" s="97" t="n"/>
      <c r="E441" s="97" t="n"/>
      <c r="F441" s="97" t="n"/>
      <c r="G441" s="97" t="n"/>
      <c r="H441" s="97" t="n"/>
      <c r="I441" s="97" t="n"/>
      <c r="J441" s="97" t="n"/>
      <c r="K441" s="97" t="n"/>
      <c r="L441" s="97" t="n"/>
      <c r="M441" s="97" t="n"/>
      <c r="N441" s="97" t="n"/>
      <c r="O441" s="97" t="n"/>
      <c r="P441" s="97" t="n"/>
    </row>
    <row r="442" ht="15.75" customHeight="1" s="105">
      <c r="B442" s="97" t="n"/>
      <c r="D442" s="97" t="n"/>
      <c r="E442" s="97" t="n"/>
      <c r="F442" s="97" t="n"/>
      <c r="G442" s="97" t="n"/>
      <c r="H442" s="97" t="n"/>
      <c r="I442" s="97" t="n"/>
      <c r="J442" s="97" t="n"/>
      <c r="K442" s="97" t="n"/>
      <c r="L442" s="97" t="n"/>
      <c r="M442" s="97" t="n"/>
      <c r="N442" s="97" t="n"/>
      <c r="O442" s="97" t="n"/>
      <c r="P442" s="97" t="n"/>
    </row>
    <row r="443" ht="15.75" customHeight="1" s="105">
      <c r="B443" s="97" t="n"/>
      <c r="D443" s="97" t="n"/>
      <c r="E443" s="97" t="n"/>
      <c r="F443" s="97" t="n"/>
      <c r="G443" s="97" t="n"/>
      <c r="H443" s="97" t="n"/>
      <c r="I443" s="97" t="n"/>
      <c r="J443" s="97" t="n"/>
      <c r="K443" s="97" t="n"/>
      <c r="L443" s="97" t="n"/>
      <c r="M443" s="97" t="n"/>
      <c r="N443" s="97" t="n"/>
      <c r="O443" s="97" t="n"/>
      <c r="P443" s="97" t="n"/>
    </row>
    <row r="444" ht="15.75" customHeight="1" s="105">
      <c r="B444" s="97" t="n"/>
      <c r="D444" s="97" t="n"/>
      <c r="E444" s="97" t="n"/>
      <c r="F444" s="97" t="n"/>
      <c r="G444" s="97" t="n"/>
      <c r="H444" s="97" t="n"/>
      <c r="I444" s="97" t="n"/>
      <c r="J444" s="97" t="n"/>
      <c r="K444" s="97" t="n"/>
      <c r="L444" s="97" t="n"/>
      <c r="M444" s="97" t="n"/>
      <c r="N444" s="97" t="n"/>
      <c r="O444" s="97" t="n"/>
      <c r="P444" s="97" t="n"/>
    </row>
    <row r="445" ht="15.75" customHeight="1" s="105">
      <c r="B445" s="97" t="n"/>
      <c r="D445" s="97" t="n"/>
      <c r="E445" s="97" t="n"/>
      <c r="F445" s="97" t="n"/>
      <c r="G445" s="97" t="n"/>
      <c r="H445" s="97" t="n"/>
      <c r="I445" s="97" t="n"/>
      <c r="J445" s="97" t="n"/>
      <c r="K445" s="97" t="n"/>
      <c r="L445" s="97" t="n"/>
      <c r="M445" s="97" t="n"/>
      <c r="N445" s="97" t="n"/>
      <c r="O445" s="97" t="n"/>
      <c r="P445" s="97" t="n"/>
    </row>
    <row r="446" ht="15.75" customHeight="1" s="105">
      <c r="B446" s="97" t="n"/>
      <c r="D446" s="97" t="n"/>
      <c r="E446" s="97" t="n"/>
      <c r="F446" s="97" t="n"/>
      <c r="G446" s="97" t="n"/>
      <c r="H446" s="97" t="n"/>
      <c r="I446" s="97" t="n"/>
      <c r="J446" s="97" t="n"/>
      <c r="K446" s="97" t="n"/>
      <c r="L446" s="97" t="n"/>
      <c r="M446" s="97" t="n"/>
      <c r="N446" s="97" t="n"/>
      <c r="O446" s="97" t="n"/>
      <c r="P446" s="97" t="n"/>
    </row>
    <row r="447" ht="15.75" customHeight="1" s="105">
      <c r="B447" s="97" t="n"/>
      <c r="D447" s="97" t="n"/>
      <c r="E447" s="97" t="n"/>
      <c r="F447" s="97" t="n"/>
      <c r="G447" s="97" t="n"/>
      <c r="H447" s="97" t="n"/>
      <c r="I447" s="97" t="n"/>
      <c r="J447" s="97" t="n"/>
      <c r="K447" s="97" t="n"/>
      <c r="L447" s="97" t="n"/>
      <c r="M447" s="97" t="n"/>
      <c r="N447" s="97" t="n"/>
      <c r="O447" s="97" t="n"/>
      <c r="P447" s="97" t="n"/>
    </row>
    <row r="448" ht="15.75" customHeight="1" s="105">
      <c r="B448" s="97" t="n"/>
      <c r="D448" s="97" t="n"/>
      <c r="E448" s="97" t="n"/>
      <c r="F448" s="97" t="n"/>
      <c r="G448" s="97" t="n"/>
      <c r="H448" s="97" t="n"/>
      <c r="I448" s="97" t="n"/>
      <c r="J448" s="97" t="n"/>
      <c r="K448" s="97" t="n"/>
      <c r="L448" s="97" t="n"/>
      <c r="M448" s="97" t="n"/>
      <c r="N448" s="97" t="n"/>
      <c r="O448" s="97" t="n"/>
      <c r="P448" s="97" t="n"/>
    </row>
    <row r="449" ht="15.75" customHeight="1" s="105">
      <c r="B449" s="97" t="n"/>
      <c r="D449" s="97" t="n"/>
      <c r="E449" s="97" t="n"/>
      <c r="F449" s="97" t="n"/>
      <c r="G449" s="97" t="n"/>
      <c r="H449" s="97" t="n"/>
      <c r="I449" s="97" t="n"/>
      <c r="J449" s="97" t="n"/>
      <c r="K449" s="97" t="n"/>
      <c r="L449" s="97" t="n"/>
      <c r="M449" s="97" t="n"/>
      <c r="N449" s="97" t="n"/>
      <c r="O449" s="97" t="n"/>
      <c r="P449" s="97" t="n"/>
    </row>
    <row r="450" ht="15.75" customHeight="1" s="105">
      <c r="B450" s="97" t="n"/>
      <c r="D450" s="97" t="n"/>
      <c r="E450" s="97" t="n"/>
      <c r="F450" s="97" t="n"/>
      <c r="G450" s="97" t="n"/>
      <c r="H450" s="97" t="n"/>
      <c r="I450" s="97" t="n"/>
      <c r="J450" s="97" t="n"/>
      <c r="K450" s="97" t="n"/>
      <c r="L450" s="97" t="n"/>
      <c r="M450" s="97" t="n"/>
      <c r="N450" s="97" t="n"/>
      <c r="O450" s="97" t="n"/>
      <c r="P450" s="97" t="n"/>
    </row>
    <row r="451" ht="15.75" customHeight="1" s="105">
      <c r="B451" s="97" t="n"/>
      <c r="D451" s="97" t="n"/>
      <c r="E451" s="97" t="n"/>
      <c r="F451" s="97" t="n"/>
      <c r="G451" s="97" t="n"/>
      <c r="H451" s="97" t="n"/>
      <c r="I451" s="97" t="n"/>
      <c r="J451" s="97" t="n"/>
      <c r="K451" s="97" t="n"/>
      <c r="L451" s="97" t="n"/>
      <c r="M451" s="97" t="n"/>
      <c r="N451" s="97" t="n"/>
      <c r="O451" s="97" t="n"/>
      <c r="P451" s="97" t="n"/>
    </row>
    <row r="452" ht="15.75" customHeight="1" s="105">
      <c r="B452" s="97" t="n"/>
      <c r="D452" s="97" t="n"/>
      <c r="E452" s="97" t="n"/>
      <c r="F452" s="97" t="n"/>
      <c r="G452" s="97" t="n"/>
      <c r="H452" s="97" t="n"/>
      <c r="I452" s="97" t="n"/>
      <c r="J452" s="97" t="n"/>
      <c r="K452" s="97" t="n"/>
      <c r="L452" s="97" t="n"/>
      <c r="M452" s="97" t="n"/>
      <c r="N452" s="97" t="n"/>
      <c r="O452" s="97" t="n"/>
      <c r="P452" s="97" t="n"/>
    </row>
    <row r="453" ht="15.75" customHeight="1" s="105">
      <c r="B453" s="97" t="n"/>
      <c r="D453" s="97" t="n"/>
      <c r="E453" s="97" t="n"/>
      <c r="F453" s="97" t="n"/>
      <c r="G453" s="97" t="n"/>
      <c r="H453" s="97" t="n"/>
      <c r="I453" s="97" t="n"/>
      <c r="J453" s="97" t="n"/>
      <c r="K453" s="97" t="n"/>
      <c r="L453" s="97" t="n"/>
      <c r="M453" s="97" t="n"/>
      <c r="N453" s="97" t="n"/>
      <c r="O453" s="97" t="n"/>
      <c r="P453" s="97" t="n"/>
    </row>
    <row r="454" ht="15.75" customHeight="1" s="105">
      <c r="B454" s="97" t="n"/>
      <c r="D454" s="97" t="n"/>
      <c r="E454" s="97" t="n"/>
      <c r="F454" s="97" t="n"/>
      <c r="G454" s="97" t="n"/>
      <c r="H454" s="97" t="n"/>
      <c r="I454" s="97" t="n"/>
      <c r="J454" s="97" t="n"/>
      <c r="K454" s="97" t="n"/>
      <c r="L454" s="97" t="n"/>
      <c r="M454" s="97" t="n"/>
      <c r="N454" s="97" t="n"/>
      <c r="O454" s="97" t="n"/>
      <c r="P454" s="97" t="n"/>
    </row>
    <row r="455" ht="15.75" customHeight="1" s="105">
      <c r="B455" s="97" t="n"/>
      <c r="D455" s="97" t="n"/>
      <c r="E455" s="97" t="n"/>
      <c r="F455" s="97" t="n"/>
      <c r="G455" s="97" t="n"/>
      <c r="H455" s="97" t="n"/>
      <c r="I455" s="97" t="n"/>
      <c r="J455" s="97" t="n"/>
      <c r="K455" s="97" t="n"/>
      <c r="L455" s="97" t="n"/>
      <c r="M455" s="97" t="n"/>
      <c r="N455" s="97" t="n"/>
      <c r="O455" s="97" t="n"/>
      <c r="P455" s="97" t="n"/>
    </row>
    <row r="456" ht="15.75" customHeight="1" s="105">
      <c r="B456" s="97" t="n"/>
      <c r="D456" s="97" t="n"/>
      <c r="E456" s="97" t="n"/>
      <c r="F456" s="97" t="n"/>
      <c r="G456" s="97" t="n"/>
      <c r="H456" s="97" t="n"/>
      <c r="I456" s="97" t="n"/>
      <c r="J456" s="97" t="n"/>
      <c r="K456" s="97" t="n"/>
      <c r="L456" s="97" t="n"/>
      <c r="M456" s="97" t="n"/>
      <c r="N456" s="97" t="n"/>
      <c r="O456" s="97" t="n"/>
      <c r="P456" s="97" t="n"/>
    </row>
    <row r="457" ht="15.75" customHeight="1" s="105">
      <c r="B457" s="97" t="n"/>
      <c r="D457" s="97" t="n"/>
      <c r="E457" s="97" t="n"/>
      <c r="F457" s="97" t="n"/>
      <c r="G457" s="97" t="n"/>
      <c r="H457" s="97" t="n"/>
      <c r="I457" s="97" t="n"/>
      <c r="J457" s="97" t="n"/>
      <c r="K457" s="97" t="n"/>
      <c r="L457" s="97" t="n"/>
      <c r="M457" s="97" t="n"/>
      <c r="N457" s="97" t="n"/>
      <c r="O457" s="97" t="n"/>
      <c r="P457" s="97" t="n"/>
    </row>
    <row r="458" ht="15.75" customHeight="1" s="105">
      <c r="B458" s="97" t="n"/>
      <c r="D458" s="97" t="n"/>
      <c r="E458" s="97" t="n"/>
      <c r="F458" s="97" t="n"/>
      <c r="G458" s="97" t="n"/>
      <c r="H458" s="97" t="n"/>
      <c r="I458" s="97" t="n"/>
      <c r="J458" s="97" t="n"/>
      <c r="K458" s="97" t="n"/>
      <c r="L458" s="97" t="n"/>
      <c r="M458" s="97" t="n"/>
      <c r="N458" s="97" t="n"/>
      <c r="O458" s="97" t="n"/>
      <c r="P458" s="97" t="n"/>
    </row>
    <row r="459" ht="15.75" customHeight="1" s="105">
      <c r="B459" s="97" t="n"/>
      <c r="D459" s="97" t="n"/>
      <c r="E459" s="97" t="n"/>
      <c r="F459" s="97" t="n"/>
      <c r="G459" s="97" t="n"/>
      <c r="H459" s="97" t="n"/>
      <c r="I459" s="97" t="n"/>
      <c r="J459" s="97" t="n"/>
      <c r="K459" s="97" t="n"/>
      <c r="L459" s="97" t="n"/>
      <c r="M459" s="97" t="n"/>
      <c r="N459" s="97" t="n"/>
      <c r="O459" s="97" t="n"/>
      <c r="P459" s="97" t="n"/>
    </row>
    <row r="460" ht="15.75" customHeight="1" s="105">
      <c r="B460" s="97" t="n"/>
      <c r="D460" s="97" t="n"/>
      <c r="E460" s="97" t="n"/>
      <c r="F460" s="97" t="n"/>
      <c r="G460" s="97" t="n"/>
      <c r="H460" s="97" t="n"/>
      <c r="I460" s="97" t="n"/>
      <c r="J460" s="97" t="n"/>
      <c r="K460" s="97" t="n"/>
      <c r="L460" s="97" t="n"/>
      <c r="M460" s="97" t="n"/>
      <c r="N460" s="97" t="n"/>
      <c r="O460" s="97" t="n"/>
      <c r="P460" s="97" t="n"/>
    </row>
    <row r="461" ht="15.75" customHeight="1" s="105">
      <c r="B461" s="97" t="n"/>
      <c r="D461" s="97" t="n"/>
      <c r="E461" s="97" t="n"/>
      <c r="F461" s="97" t="n"/>
      <c r="G461" s="97" t="n"/>
      <c r="H461" s="97" t="n"/>
      <c r="I461" s="97" t="n"/>
      <c r="J461" s="97" t="n"/>
      <c r="K461" s="97" t="n"/>
      <c r="L461" s="97" t="n"/>
      <c r="M461" s="97" t="n"/>
      <c r="N461" s="97" t="n"/>
      <c r="O461" s="97" t="n"/>
      <c r="P461" s="97" t="n"/>
    </row>
    <row r="462" ht="15.75" customHeight="1" s="105">
      <c r="B462" s="97" t="n"/>
      <c r="D462" s="97" t="n"/>
      <c r="E462" s="97" t="n"/>
      <c r="F462" s="97" t="n"/>
      <c r="G462" s="97" t="n"/>
      <c r="H462" s="97" t="n"/>
      <c r="I462" s="97" t="n"/>
      <c r="J462" s="97" t="n"/>
      <c r="K462" s="97" t="n"/>
      <c r="L462" s="97" t="n"/>
      <c r="M462" s="97" t="n"/>
      <c r="N462" s="97" t="n"/>
      <c r="O462" s="97" t="n"/>
      <c r="P462" s="97" t="n"/>
    </row>
    <row r="463" ht="15.75" customHeight="1" s="105">
      <c r="B463" s="97" t="n"/>
      <c r="D463" s="97" t="n"/>
      <c r="E463" s="97" t="n"/>
      <c r="F463" s="97" t="n"/>
      <c r="G463" s="97" t="n"/>
      <c r="H463" s="97" t="n"/>
      <c r="I463" s="97" t="n"/>
      <c r="J463" s="97" t="n"/>
      <c r="K463" s="97" t="n"/>
      <c r="L463" s="97" t="n"/>
      <c r="M463" s="97" t="n"/>
      <c r="N463" s="97" t="n"/>
      <c r="O463" s="97" t="n"/>
      <c r="P463" s="97" t="n"/>
    </row>
    <row r="464" ht="15.75" customHeight="1" s="105">
      <c r="B464" s="97" t="n"/>
      <c r="D464" s="97" t="n"/>
      <c r="E464" s="97" t="n"/>
      <c r="F464" s="97" t="n"/>
      <c r="G464" s="97" t="n"/>
      <c r="H464" s="97" t="n"/>
      <c r="I464" s="97" t="n"/>
      <c r="J464" s="97" t="n"/>
      <c r="K464" s="97" t="n"/>
      <c r="L464" s="97" t="n"/>
      <c r="M464" s="97" t="n"/>
      <c r="N464" s="97" t="n"/>
      <c r="O464" s="97" t="n"/>
      <c r="P464" s="97" t="n"/>
    </row>
    <row r="465" ht="15.75" customHeight="1" s="105">
      <c r="B465" s="97" t="n"/>
      <c r="D465" s="97" t="n"/>
      <c r="E465" s="97" t="n"/>
      <c r="F465" s="97" t="n"/>
      <c r="G465" s="97" t="n"/>
      <c r="H465" s="97" t="n"/>
      <c r="I465" s="97" t="n"/>
      <c r="J465" s="97" t="n"/>
      <c r="K465" s="97" t="n"/>
      <c r="L465" s="97" t="n"/>
      <c r="M465" s="97" t="n"/>
      <c r="N465" s="97" t="n"/>
      <c r="O465" s="97" t="n"/>
      <c r="P465" s="97" t="n"/>
    </row>
    <row r="466" ht="15.75" customHeight="1" s="105">
      <c r="B466" s="97" t="n"/>
      <c r="D466" s="97" t="n"/>
      <c r="E466" s="97" t="n"/>
      <c r="F466" s="97" t="n"/>
      <c r="G466" s="97" t="n"/>
      <c r="H466" s="97" t="n"/>
      <c r="I466" s="97" t="n"/>
      <c r="J466" s="97" t="n"/>
      <c r="K466" s="97" t="n"/>
      <c r="L466" s="97" t="n"/>
      <c r="M466" s="97" t="n"/>
      <c r="N466" s="97" t="n"/>
      <c r="O466" s="97" t="n"/>
      <c r="P466" s="97" t="n"/>
    </row>
    <row r="467" ht="15.75" customHeight="1" s="105">
      <c r="B467" s="97" t="n"/>
      <c r="D467" s="97" t="n"/>
      <c r="E467" s="97" t="n"/>
      <c r="F467" s="97" t="n"/>
      <c r="G467" s="97" t="n"/>
      <c r="H467" s="97" t="n"/>
      <c r="I467" s="97" t="n"/>
      <c r="J467" s="97" t="n"/>
      <c r="K467" s="97" t="n"/>
      <c r="L467" s="97" t="n"/>
      <c r="M467" s="97" t="n"/>
      <c r="N467" s="97" t="n"/>
      <c r="O467" s="97" t="n"/>
      <c r="P467" s="97" t="n"/>
    </row>
    <row r="468" ht="15.75" customHeight="1" s="105">
      <c r="B468" s="97" t="n"/>
      <c r="D468" s="97" t="n"/>
      <c r="E468" s="97" t="n"/>
      <c r="F468" s="97" t="n"/>
      <c r="G468" s="97" t="n"/>
      <c r="H468" s="97" t="n"/>
      <c r="I468" s="97" t="n"/>
      <c r="J468" s="97" t="n"/>
      <c r="K468" s="97" t="n"/>
      <c r="L468" s="97" t="n"/>
      <c r="M468" s="97" t="n"/>
      <c r="N468" s="97" t="n"/>
      <c r="O468" s="97" t="n"/>
      <c r="P468" s="97" t="n"/>
    </row>
    <row r="469" ht="15.75" customHeight="1" s="105">
      <c r="B469" s="97" t="n"/>
      <c r="D469" s="97" t="n"/>
      <c r="E469" s="97" t="n"/>
      <c r="F469" s="97" t="n"/>
      <c r="G469" s="97" t="n"/>
      <c r="H469" s="97" t="n"/>
      <c r="I469" s="97" t="n"/>
      <c r="J469" s="97" t="n"/>
      <c r="K469" s="97" t="n"/>
      <c r="L469" s="97" t="n"/>
      <c r="M469" s="97" t="n"/>
      <c r="N469" s="97" t="n"/>
      <c r="O469" s="97" t="n"/>
      <c r="P469" s="97" t="n"/>
    </row>
    <row r="470" ht="15.75" customHeight="1" s="105">
      <c r="B470" s="97" t="n"/>
      <c r="D470" s="97" t="n"/>
      <c r="E470" s="97" t="n"/>
      <c r="F470" s="97" t="n"/>
      <c r="G470" s="97" t="n"/>
      <c r="H470" s="97" t="n"/>
      <c r="I470" s="97" t="n"/>
      <c r="J470" s="97" t="n"/>
      <c r="K470" s="97" t="n"/>
      <c r="L470" s="97" t="n"/>
      <c r="M470" s="97" t="n"/>
      <c r="N470" s="97" t="n"/>
      <c r="O470" s="97" t="n"/>
      <c r="P470" s="97" t="n"/>
    </row>
    <row r="471" ht="15.75" customHeight="1" s="105">
      <c r="B471" s="97" t="n"/>
      <c r="D471" s="97" t="n"/>
      <c r="E471" s="97" t="n"/>
      <c r="F471" s="97" t="n"/>
      <c r="G471" s="97" t="n"/>
      <c r="H471" s="97" t="n"/>
      <c r="I471" s="97" t="n"/>
      <c r="J471" s="97" t="n"/>
      <c r="K471" s="97" t="n"/>
      <c r="L471" s="97" t="n"/>
      <c r="M471" s="97" t="n"/>
      <c r="N471" s="97" t="n"/>
      <c r="O471" s="97" t="n"/>
      <c r="P471" s="97" t="n"/>
    </row>
    <row r="472" ht="15.75" customHeight="1" s="105">
      <c r="B472" s="97" t="n"/>
      <c r="D472" s="97" t="n"/>
      <c r="E472" s="97" t="n"/>
      <c r="F472" s="97" t="n"/>
      <c r="G472" s="97" t="n"/>
      <c r="H472" s="97" t="n"/>
      <c r="I472" s="97" t="n"/>
      <c r="J472" s="97" t="n"/>
      <c r="K472" s="97" t="n"/>
      <c r="L472" s="97" t="n"/>
      <c r="M472" s="97" t="n"/>
      <c r="N472" s="97" t="n"/>
      <c r="O472" s="97" t="n"/>
      <c r="P472" s="97" t="n"/>
    </row>
    <row r="473" ht="15.75" customHeight="1" s="105">
      <c r="B473" s="97" t="n"/>
      <c r="D473" s="97" t="n"/>
      <c r="E473" s="97" t="n"/>
      <c r="F473" s="97" t="n"/>
      <c r="G473" s="97" t="n"/>
      <c r="H473" s="97" t="n"/>
      <c r="I473" s="97" t="n"/>
      <c r="J473" s="97" t="n"/>
      <c r="K473" s="97" t="n"/>
      <c r="L473" s="97" t="n"/>
      <c r="M473" s="97" t="n"/>
      <c r="N473" s="97" t="n"/>
      <c r="O473" s="97" t="n"/>
      <c r="P473" s="97" t="n"/>
    </row>
    <row r="474" ht="15.75" customHeight="1" s="105">
      <c r="B474" s="97" t="n"/>
      <c r="D474" s="97" t="n"/>
      <c r="E474" s="97" t="n"/>
      <c r="F474" s="97" t="n"/>
      <c r="G474" s="97" t="n"/>
      <c r="H474" s="97" t="n"/>
      <c r="I474" s="97" t="n"/>
      <c r="J474" s="97" t="n"/>
      <c r="K474" s="97" t="n"/>
      <c r="L474" s="97" t="n"/>
      <c r="M474" s="97" t="n"/>
      <c r="N474" s="97" t="n"/>
      <c r="O474" s="97" t="n"/>
      <c r="P474" s="97" t="n"/>
    </row>
    <row r="475" ht="15.75" customHeight="1" s="105">
      <c r="B475" s="97" t="n"/>
      <c r="D475" s="97" t="n"/>
      <c r="E475" s="97" t="n"/>
      <c r="F475" s="97" t="n"/>
      <c r="G475" s="97" t="n"/>
      <c r="H475" s="97" t="n"/>
      <c r="I475" s="97" t="n"/>
      <c r="J475" s="97" t="n"/>
      <c r="K475" s="97" t="n"/>
      <c r="L475" s="97" t="n"/>
      <c r="M475" s="97" t="n"/>
      <c r="N475" s="97" t="n"/>
      <c r="O475" s="97" t="n"/>
      <c r="P475" s="97" t="n"/>
    </row>
    <row r="476" ht="15.75" customHeight="1" s="105">
      <c r="B476" s="97" t="n"/>
      <c r="D476" s="97" t="n"/>
      <c r="E476" s="97" t="n"/>
      <c r="F476" s="97" t="n"/>
      <c r="G476" s="97" t="n"/>
      <c r="H476" s="97" t="n"/>
      <c r="I476" s="97" t="n"/>
      <c r="J476" s="97" t="n"/>
      <c r="K476" s="97" t="n"/>
      <c r="L476" s="97" t="n"/>
      <c r="M476" s="97" t="n"/>
      <c r="N476" s="97" t="n"/>
      <c r="O476" s="97" t="n"/>
      <c r="P476" s="97" t="n"/>
    </row>
    <row r="477" ht="15.75" customHeight="1" s="105">
      <c r="B477" s="97" t="n"/>
      <c r="D477" s="97" t="n"/>
      <c r="E477" s="97" t="n"/>
      <c r="F477" s="97" t="n"/>
      <c r="G477" s="97" t="n"/>
      <c r="H477" s="97" t="n"/>
      <c r="I477" s="97" t="n"/>
      <c r="J477" s="97" t="n"/>
      <c r="K477" s="97" t="n"/>
      <c r="L477" s="97" t="n"/>
      <c r="M477" s="97" t="n"/>
      <c r="N477" s="97" t="n"/>
      <c r="O477" s="97" t="n"/>
      <c r="P477" s="97" t="n"/>
    </row>
    <row r="478" ht="15.75" customHeight="1" s="105">
      <c r="B478" s="97" t="n"/>
      <c r="D478" s="97" t="n"/>
      <c r="E478" s="97" t="n"/>
      <c r="F478" s="97" t="n"/>
      <c r="G478" s="97" t="n"/>
      <c r="H478" s="97" t="n"/>
      <c r="I478" s="97" t="n"/>
      <c r="J478" s="97" t="n"/>
      <c r="K478" s="97" t="n"/>
      <c r="L478" s="97" t="n"/>
      <c r="M478" s="97" t="n"/>
      <c r="N478" s="97" t="n"/>
      <c r="O478" s="97" t="n"/>
      <c r="P478" s="97" t="n"/>
    </row>
    <row r="479" ht="15.75" customHeight="1" s="105">
      <c r="B479" s="97" t="n"/>
      <c r="D479" s="97" t="n"/>
      <c r="E479" s="97" t="n"/>
      <c r="F479" s="97" t="n"/>
      <c r="G479" s="97" t="n"/>
      <c r="H479" s="97" t="n"/>
      <c r="I479" s="97" t="n"/>
      <c r="J479" s="97" t="n"/>
      <c r="K479" s="97" t="n"/>
      <c r="L479" s="97" t="n"/>
      <c r="M479" s="97" t="n"/>
      <c r="N479" s="97" t="n"/>
      <c r="O479" s="97" t="n"/>
      <c r="P479" s="97" t="n"/>
    </row>
    <row r="480" ht="15.75" customHeight="1" s="105">
      <c r="B480" s="97" t="n"/>
      <c r="D480" s="97" t="n"/>
      <c r="E480" s="97" t="n"/>
      <c r="F480" s="97" t="n"/>
      <c r="G480" s="97" t="n"/>
      <c r="H480" s="97" t="n"/>
      <c r="I480" s="97" t="n"/>
      <c r="J480" s="97" t="n"/>
      <c r="K480" s="97" t="n"/>
      <c r="L480" s="97" t="n"/>
      <c r="M480" s="97" t="n"/>
      <c r="N480" s="97" t="n"/>
      <c r="O480" s="97" t="n"/>
      <c r="P480" s="97" t="n"/>
    </row>
    <row r="481" ht="15.75" customHeight="1" s="105">
      <c r="B481" s="97" t="n"/>
      <c r="D481" s="97" t="n"/>
      <c r="E481" s="97" t="n"/>
      <c r="F481" s="97" t="n"/>
      <c r="G481" s="97" t="n"/>
      <c r="H481" s="97" t="n"/>
      <c r="I481" s="97" t="n"/>
      <c r="J481" s="97" t="n"/>
      <c r="K481" s="97" t="n"/>
      <c r="L481" s="97" t="n"/>
      <c r="M481" s="97" t="n"/>
      <c r="N481" s="97" t="n"/>
      <c r="O481" s="97" t="n"/>
      <c r="P481" s="97" t="n"/>
    </row>
    <row r="482" ht="15.75" customHeight="1" s="105">
      <c r="B482" s="97" t="n"/>
      <c r="D482" s="97" t="n"/>
      <c r="E482" s="97" t="n"/>
      <c r="F482" s="97" t="n"/>
      <c r="G482" s="97" t="n"/>
      <c r="H482" s="97" t="n"/>
      <c r="I482" s="97" t="n"/>
      <c r="J482" s="97" t="n"/>
      <c r="K482" s="97" t="n"/>
      <c r="L482" s="97" t="n"/>
      <c r="M482" s="97" t="n"/>
      <c r="N482" s="97" t="n"/>
      <c r="O482" s="97" t="n"/>
      <c r="P482" s="97" t="n"/>
    </row>
    <row r="483" ht="15.75" customHeight="1" s="105">
      <c r="B483" s="97" t="n"/>
      <c r="D483" s="97" t="n"/>
      <c r="E483" s="97" t="n"/>
      <c r="F483" s="97" t="n"/>
      <c r="G483" s="97" t="n"/>
      <c r="H483" s="97" t="n"/>
      <c r="I483" s="97" t="n"/>
      <c r="J483" s="97" t="n"/>
      <c r="K483" s="97" t="n"/>
      <c r="L483" s="97" t="n"/>
      <c r="M483" s="97" t="n"/>
      <c r="N483" s="97" t="n"/>
      <c r="O483" s="97" t="n"/>
      <c r="P483" s="97" t="n"/>
    </row>
    <row r="484" ht="15.75" customHeight="1" s="105">
      <c r="B484" s="97" t="n"/>
      <c r="D484" s="97" t="n"/>
      <c r="E484" s="97" t="n"/>
      <c r="F484" s="97" t="n"/>
      <c r="G484" s="97" t="n"/>
      <c r="H484" s="97" t="n"/>
      <c r="I484" s="97" t="n"/>
      <c r="J484" s="97" t="n"/>
      <c r="K484" s="97" t="n"/>
      <c r="L484" s="97" t="n"/>
      <c r="M484" s="97" t="n"/>
      <c r="N484" s="97" t="n"/>
      <c r="O484" s="97" t="n"/>
      <c r="P484" s="97" t="n"/>
    </row>
    <row r="485" ht="15.75" customHeight="1" s="105">
      <c r="B485" s="97" t="n"/>
      <c r="D485" s="97" t="n"/>
      <c r="E485" s="97" t="n"/>
      <c r="F485" s="97" t="n"/>
      <c r="G485" s="97" t="n"/>
      <c r="H485" s="97" t="n"/>
      <c r="I485" s="97" t="n"/>
      <c r="J485" s="97" t="n"/>
      <c r="K485" s="97" t="n"/>
      <c r="L485" s="97" t="n"/>
      <c r="M485" s="97" t="n"/>
      <c r="N485" s="97" t="n"/>
      <c r="O485" s="97" t="n"/>
      <c r="P485" s="97" t="n"/>
    </row>
    <row r="486" ht="15.75" customHeight="1" s="105">
      <c r="B486" s="97" t="n"/>
      <c r="D486" s="97" t="n"/>
      <c r="E486" s="97" t="n"/>
      <c r="F486" s="97" t="n"/>
      <c r="G486" s="97" t="n"/>
      <c r="H486" s="97" t="n"/>
      <c r="I486" s="97" t="n"/>
      <c r="J486" s="97" t="n"/>
      <c r="K486" s="97" t="n"/>
      <c r="L486" s="97" t="n"/>
      <c r="M486" s="97" t="n"/>
      <c r="N486" s="97" t="n"/>
      <c r="O486" s="97" t="n"/>
      <c r="P486" s="97" t="n"/>
    </row>
    <row r="487" ht="15.75" customHeight="1" s="105">
      <c r="B487" s="97" t="n"/>
      <c r="D487" s="97" t="n"/>
      <c r="E487" s="97" t="n"/>
      <c r="F487" s="97" t="n"/>
      <c r="G487" s="97" t="n"/>
      <c r="H487" s="97" t="n"/>
      <c r="I487" s="97" t="n"/>
      <c r="J487" s="97" t="n"/>
      <c r="K487" s="97" t="n"/>
      <c r="L487" s="97" t="n"/>
      <c r="M487" s="97" t="n"/>
      <c r="N487" s="97" t="n"/>
      <c r="O487" s="97" t="n"/>
      <c r="P487" s="97" t="n"/>
    </row>
    <row r="488" ht="15.75" customHeight="1" s="105">
      <c r="B488" s="97" t="n"/>
      <c r="D488" s="97" t="n"/>
      <c r="E488" s="97" t="n"/>
      <c r="F488" s="97" t="n"/>
      <c r="G488" s="97" t="n"/>
      <c r="H488" s="97" t="n"/>
      <c r="I488" s="97" t="n"/>
      <c r="J488" s="97" t="n"/>
      <c r="K488" s="97" t="n"/>
      <c r="L488" s="97" t="n"/>
      <c r="M488" s="97" t="n"/>
      <c r="N488" s="97" t="n"/>
      <c r="O488" s="97" t="n"/>
      <c r="P488" s="97" t="n"/>
    </row>
    <row r="489" ht="15.75" customHeight="1" s="105">
      <c r="B489" s="97" t="n"/>
      <c r="D489" s="97" t="n"/>
      <c r="E489" s="97" t="n"/>
      <c r="F489" s="97" t="n"/>
      <c r="G489" s="97" t="n"/>
      <c r="H489" s="97" t="n"/>
      <c r="I489" s="97" t="n"/>
      <c r="J489" s="97" t="n"/>
      <c r="K489" s="97" t="n"/>
      <c r="L489" s="97" t="n"/>
      <c r="M489" s="97" t="n"/>
      <c r="N489" s="97" t="n"/>
      <c r="O489" s="97" t="n"/>
      <c r="P489" s="97" t="n"/>
    </row>
    <row r="490" ht="15.75" customHeight="1" s="105">
      <c r="B490" s="97" t="n"/>
      <c r="D490" s="97" t="n"/>
      <c r="E490" s="97" t="n"/>
      <c r="F490" s="97" t="n"/>
      <c r="G490" s="97" t="n"/>
      <c r="H490" s="97" t="n"/>
      <c r="I490" s="97" t="n"/>
      <c r="J490" s="97" t="n"/>
      <c r="K490" s="97" t="n"/>
      <c r="L490" s="97" t="n"/>
      <c r="M490" s="97" t="n"/>
      <c r="N490" s="97" t="n"/>
      <c r="O490" s="97" t="n"/>
      <c r="P490" s="97" t="n"/>
    </row>
    <row r="491" ht="15.75" customHeight="1" s="105">
      <c r="B491" s="97" t="n"/>
      <c r="D491" s="97" t="n"/>
      <c r="E491" s="97" t="n"/>
      <c r="F491" s="97" t="n"/>
      <c r="G491" s="97" t="n"/>
      <c r="H491" s="97" t="n"/>
      <c r="I491" s="97" t="n"/>
      <c r="J491" s="97" t="n"/>
      <c r="K491" s="97" t="n"/>
      <c r="L491" s="97" t="n"/>
      <c r="M491" s="97" t="n"/>
      <c r="N491" s="97" t="n"/>
      <c r="O491" s="97" t="n"/>
      <c r="P491" s="97" t="n"/>
    </row>
    <row r="492" ht="15.75" customHeight="1" s="105">
      <c r="B492" s="97" t="n"/>
      <c r="D492" s="97" t="n"/>
      <c r="E492" s="97" t="n"/>
      <c r="F492" s="97" t="n"/>
      <c r="G492" s="97" t="n"/>
      <c r="H492" s="97" t="n"/>
      <c r="I492" s="97" t="n"/>
      <c r="J492" s="97" t="n"/>
      <c r="K492" s="97" t="n"/>
      <c r="L492" s="97" t="n"/>
      <c r="M492" s="97" t="n"/>
      <c r="N492" s="97" t="n"/>
      <c r="O492" s="97" t="n"/>
      <c r="P492" s="97" t="n"/>
    </row>
    <row r="493" ht="15.75" customHeight="1" s="105">
      <c r="B493" s="97" t="n"/>
      <c r="D493" s="97" t="n"/>
      <c r="E493" s="97" t="n"/>
      <c r="F493" s="97" t="n"/>
      <c r="G493" s="97" t="n"/>
      <c r="H493" s="97" t="n"/>
      <c r="I493" s="97" t="n"/>
      <c r="J493" s="97" t="n"/>
      <c r="K493" s="97" t="n"/>
      <c r="L493" s="97" t="n"/>
      <c r="M493" s="97" t="n"/>
      <c r="N493" s="97" t="n"/>
      <c r="O493" s="97" t="n"/>
      <c r="P493" s="97" t="n"/>
    </row>
    <row r="494" ht="15.75" customHeight="1" s="105">
      <c r="B494" s="97" t="n"/>
      <c r="D494" s="97" t="n"/>
      <c r="E494" s="97" t="n"/>
      <c r="F494" s="97" t="n"/>
      <c r="G494" s="97" t="n"/>
      <c r="H494" s="97" t="n"/>
      <c r="I494" s="97" t="n"/>
      <c r="J494" s="97" t="n"/>
      <c r="K494" s="97" t="n"/>
      <c r="L494" s="97" t="n"/>
      <c r="M494" s="97" t="n"/>
      <c r="N494" s="97" t="n"/>
      <c r="O494" s="97" t="n"/>
      <c r="P494" s="97" t="n"/>
    </row>
    <row r="495" ht="15.75" customHeight="1" s="105">
      <c r="B495" s="97" t="n"/>
      <c r="D495" s="97" t="n"/>
      <c r="E495" s="97" t="n"/>
      <c r="F495" s="97" t="n"/>
      <c r="G495" s="97" t="n"/>
      <c r="H495" s="97" t="n"/>
      <c r="I495" s="97" t="n"/>
      <c r="J495" s="97" t="n"/>
      <c r="K495" s="97" t="n"/>
      <c r="L495" s="97" t="n"/>
      <c r="M495" s="97" t="n"/>
      <c r="N495" s="97" t="n"/>
      <c r="O495" s="97" t="n"/>
      <c r="P495" s="97" t="n"/>
    </row>
    <row r="496" ht="15.75" customHeight="1" s="105">
      <c r="B496" s="97" t="n"/>
      <c r="D496" s="97" t="n"/>
      <c r="E496" s="97" t="n"/>
      <c r="F496" s="97" t="n"/>
      <c r="G496" s="97" t="n"/>
      <c r="H496" s="97" t="n"/>
      <c r="I496" s="97" t="n"/>
      <c r="J496" s="97" t="n"/>
      <c r="K496" s="97" t="n"/>
      <c r="L496" s="97" t="n"/>
      <c r="M496" s="97" t="n"/>
      <c r="N496" s="97" t="n"/>
      <c r="O496" s="97" t="n"/>
      <c r="P496" s="97" t="n"/>
    </row>
    <row r="497" ht="15.75" customHeight="1" s="105">
      <c r="B497" s="97" t="n"/>
      <c r="D497" s="97" t="n"/>
      <c r="E497" s="97" t="n"/>
      <c r="F497" s="97" t="n"/>
      <c r="G497" s="97" t="n"/>
      <c r="H497" s="97" t="n"/>
      <c r="I497" s="97" t="n"/>
      <c r="J497" s="97" t="n"/>
      <c r="K497" s="97" t="n"/>
      <c r="L497" s="97" t="n"/>
      <c r="M497" s="97" t="n"/>
      <c r="N497" s="97" t="n"/>
      <c r="O497" s="97" t="n"/>
      <c r="P497" s="97" t="n"/>
    </row>
    <row r="498" ht="15.75" customHeight="1" s="105">
      <c r="B498" s="97" t="n"/>
      <c r="D498" s="97" t="n"/>
      <c r="E498" s="97" t="n"/>
      <c r="F498" s="97" t="n"/>
      <c r="G498" s="97" t="n"/>
      <c r="H498" s="97" t="n"/>
      <c r="I498" s="97" t="n"/>
      <c r="J498" s="97" t="n"/>
      <c r="K498" s="97" t="n"/>
      <c r="L498" s="97" t="n"/>
      <c r="M498" s="97" t="n"/>
      <c r="N498" s="97" t="n"/>
      <c r="O498" s="97" t="n"/>
      <c r="P498" s="97" t="n"/>
    </row>
    <row r="499" ht="15.75" customHeight="1" s="105">
      <c r="B499" s="97" t="n"/>
      <c r="D499" s="97" t="n"/>
      <c r="E499" s="97" t="n"/>
      <c r="F499" s="97" t="n"/>
      <c r="G499" s="97" t="n"/>
      <c r="H499" s="97" t="n"/>
      <c r="I499" s="97" t="n"/>
      <c r="J499" s="97" t="n"/>
      <c r="K499" s="97" t="n"/>
      <c r="L499" s="97" t="n"/>
      <c r="M499" s="97" t="n"/>
      <c r="N499" s="97" t="n"/>
      <c r="O499" s="97" t="n"/>
      <c r="P499" s="97" t="n"/>
    </row>
    <row r="500" ht="15.75" customHeight="1" s="105">
      <c r="B500" s="97" t="n"/>
      <c r="D500" s="97" t="n"/>
      <c r="E500" s="97" t="n"/>
      <c r="F500" s="97" t="n"/>
      <c r="G500" s="97" t="n"/>
      <c r="H500" s="97" t="n"/>
      <c r="I500" s="97" t="n"/>
      <c r="J500" s="97" t="n"/>
      <c r="K500" s="97" t="n"/>
      <c r="L500" s="97" t="n"/>
      <c r="M500" s="97" t="n"/>
      <c r="N500" s="97" t="n"/>
      <c r="O500" s="97" t="n"/>
      <c r="P500" s="97" t="n"/>
    </row>
    <row r="501" ht="15.75" customHeight="1" s="105">
      <c r="B501" s="97" t="n"/>
      <c r="D501" s="97" t="n"/>
      <c r="E501" s="97" t="n"/>
      <c r="F501" s="97" t="n"/>
      <c r="G501" s="97" t="n"/>
      <c r="H501" s="97" t="n"/>
      <c r="I501" s="97" t="n"/>
      <c r="J501" s="97" t="n"/>
      <c r="K501" s="97" t="n"/>
      <c r="L501" s="97" t="n"/>
      <c r="M501" s="97" t="n"/>
      <c r="N501" s="97" t="n"/>
      <c r="O501" s="97" t="n"/>
      <c r="P501" s="97" t="n"/>
    </row>
    <row r="502" ht="15.75" customHeight="1" s="105">
      <c r="B502" s="97" t="n"/>
      <c r="D502" s="97" t="n"/>
      <c r="E502" s="97" t="n"/>
      <c r="F502" s="97" t="n"/>
      <c r="G502" s="97" t="n"/>
      <c r="H502" s="97" t="n"/>
      <c r="I502" s="97" t="n"/>
      <c r="J502" s="97" t="n"/>
      <c r="K502" s="97" t="n"/>
      <c r="L502" s="97" t="n"/>
      <c r="M502" s="97" t="n"/>
      <c r="N502" s="97" t="n"/>
      <c r="O502" s="97" t="n"/>
      <c r="P502" s="97" t="n"/>
    </row>
    <row r="503" ht="15.75" customHeight="1" s="105">
      <c r="B503" s="97" t="n"/>
      <c r="D503" s="97" t="n"/>
      <c r="E503" s="97" t="n"/>
      <c r="F503" s="97" t="n"/>
      <c r="G503" s="97" t="n"/>
      <c r="H503" s="97" t="n"/>
      <c r="I503" s="97" t="n"/>
      <c r="J503" s="97" t="n"/>
      <c r="K503" s="97" t="n"/>
      <c r="L503" s="97" t="n"/>
      <c r="M503" s="97" t="n"/>
      <c r="N503" s="97" t="n"/>
      <c r="O503" s="97" t="n"/>
      <c r="P503" s="97" t="n"/>
    </row>
    <row r="504" ht="15.75" customHeight="1" s="105">
      <c r="B504" s="97" t="n"/>
      <c r="D504" s="97" t="n"/>
      <c r="E504" s="97" t="n"/>
      <c r="F504" s="97" t="n"/>
      <c r="G504" s="97" t="n"/>
      <c r="H504" s="97" t="n"/>
      <c r="I504" s="97" t="n"/>
      <c r="J504" s="97" t="n"/>
      <c r="K504" s="97" t="n"/>
      <c r="L504" s="97" t="n"/>
      <c r="M504" s="97" t="n"/>
      <c r="N504" s="97" t="n"/>
      <c r="O504" s="97" t="n"/>
      <c r="P504" s="97" t="n"/>
    </row>
    <row r="505" ht="15.75" customHeight="1" s="105">
      <c r="B505" s="97" t="n"/>
      <c r="D505" s="97" t="n"/>
      <c r="E505" s="97" t="n"/>
      <c r="F505" s="97" t="n"/>
      <c r="G505" s="97" t="n"/>
      <c r="H505" s="97" t="n"/>
      <c r="I505" s="97" t="n"/>
      <c r="J505" s="97" t="n"/>
      <c r="K505" s="97" t="n"/>
      <c r="L505" s="97" t="n"/>
      <c r="M505" s="97" t="n"/>
      <c r="N505" s="97" t="n"/>
      <c r="O505" s="97" t="n"/>
      <c r="P505" s="97" t="n"/>
    </row>
    <row r="506" ht="15.75" customHeight="1" s="105">
      <c r="B506" s="97" t="n"/>
      <c r="D506" s="97" t="n"/>
      <c r="E506" s="97" t="n"/>
      <c r="F506" s="97" t="n"/>
      <c r="G506" s="97" t="n"/>
      <c r="H506" s="97" t="n"/>
      <c r="I506" s="97" t="n"/>
      <c r="J506" s="97" t="n"/>
      <c r="K506" s="97" t="n"/>
      <c r="L506" s="97" t="n"/>
      <c r="M506" s="97" t="n"/>
      <c r="N506" s="97" t="n"/>
      <c r="O506" s="97" t="n"/>
      <c r="P506" s="97" t="n"/>
    </row>
    <row r="507" ht="15.75" customHeight="1" s="105">
      <c r="B507" s="97" t="n"/>
      <c r="D507" s="97" t="n"/>
      <c r="E507" s="97" t="n"/>
      <c r="F507" s="97" t="n"/>
      <c r="G507" s="97" t="n"/>
      <c r="H507" s="97" t="n"/>
      <c r="I507" s="97" t="n"/>
      <c r="J507" s="97" t="n"/>
      <c r="K507" s="97" t="n"/>
      <c r="L507" s="97" t="n"/>
      <c r="M507" s="97" t="n"/>
      <c r="N507" s="97" t="n"/>
      <c r="O507" s="97" t="n"/>
      <c r="P507" s="97" t="n"/>
    </row>
    <row r="508" ht="15.75" customHeight="1" s="105">
      <c r="B508" s="97" t="n"/>
      <c r="D508" s="97" t="n"/>
      <c r="E508" s="97" t="n"/>
      <c r="F508" s="97" t="n"/>
      <c r="G508" s="97" t="n"/>
      <c r="H508" s="97" t="n"/>
      <c r="I508" s="97" t="n"/>
      <c r="J508" s="97" t="n"/>
      <c r="K508" s="97" t="n"/>
      <c r="L508" s="97" t="n"/>
      <c r="M508" s="97" t="n"/>
      <c r="N508" s="97" t="n"/>
      <c r="O508" s="97" t="n"/>
      <c r="P508" s="97" t="n"/>
    </row>
    <row r="509" ht="15.75" customHeight="1" s="105">
      <c r="B509" s="97" t="n"/>
      <c r="D509" s="97" t="n"/>
      <c r="E509" s="97" t="n"/>
      <c r="F509" s="97" t="n"/>
      <c r="G509" s="97" t="n"/>
      <c r="H509" s="97" t="n"/>
      <c r="I509" s="97" t="n"/>
      <c r="J509" s="97" t="n"/>
      <c r="K509" s="97" t="n"/>
      <c r="L509" s="97" t="n"/>
      <c r="M509" s="97" t="n"/>
      <c r="N509" s="97" t="n"/>
      <c r="O509" s="97" t="n"/>
      <c r="P509" s="97" t="n"/>
    </row>
    <row r="510" ht="15.75" customHeight="1" s="105">
      <c r="B510" s="97" t="n"/>
      <c r="D510" s="97" t="n"/>
      <c r="E510" s="97" t="n"/>
      <c r="F510" s="97" t="n"/>
      <c r="G510" s="97" t="n"/>
      <c r="H510" s="97" t="n"/>
      <c r="I510" s="97" t="n"/>
      <c r="J510" s="97" t="n"/>
      <c r="K510" s="97" t="n"/>
      <c r="L510" s="97" t="n"/>
      <c r="M510" s="97" t="n"/>
      <c r="N510" s="97" t="n"/>
      <c r="O510" s="97" t="n"/>
      <c r="P510" s="97" t="n"/>
    </row>
    <row r="511" ht="15.75" customHeight="1" s="105">
      <c r="B511" s="97" t="n"/>
      <c r="D511" s="97" t="n"/>
      <c r="E511" s="97" t="n"/>
      <c r="F511" s="97" t="n"/>
      <c r="G511" s="97" t="n"/>
      <c r="H511" s="97" t="n"/>
      <c r="I511" s="97" t="n"/>
      <c r="J511" s="97" t="n"/>
      <c r="K511" s="97" t="n"/>
      <c r="L511" s="97" t="n"/>
      <c r="M511" s="97" t="n"/>
      <c r="N511" s="97" t="n"/>
      <c r="O511" s="97" t="n"/>
      <c r="P511" s="97" t="n"/>
    </row>
    <row r="512" ht="15.75" customHeight="1" s="105">
      <c r="B512" s="97" t="n"/>
      <c r="D512" s="97" t="n"/>
      <c r="E512" s="97" t="n"/>
      <c r="F512" s="97" t="n"/>
      <c r="G512" s="97" t="n"/>
      <c r="H512" s="97" t="n"/>
      <c r="I512" s="97" t="n"/>
      <c r="J512" s="97" t="n"/>
      <c r="K512" s="97" t="n"/>
      <c r="L512" s="97" t="n"/>
      <c r="M512" s="97" t="n"/>
      <c r="N512" s="97" t="n"/>
      <c r="O512" s="97" t="n"/>
      <c r="P512" s="97" t="n"/>
    </row>
    <row r="513" ht="15.75" customHeight="1" s="105">
      <c r="B513" s="97" t="n"/>
      <c r="D513" s="97" t="n"/>
      <c r="E513" s="97" t="n"/>
      <c r="F513" s="97" t="n"/>
      <c r="G513" s="97" t="n"/>
      <c r="H513" s="97" t="n"/>
      <c r="I513" s="97" t="n"/>
      <c r="J513" s="97" t="n"/>
      <c r="K513" s="97" t="n"/>
      <c r="L513" s="97" t="n"/>
      <c r="M513" s="97" t="n"/>
      <c r="N513" s="97" t="n"/>
      <c r="O513" s="97" t="n"/>
      <c r="P513" s="97" t="n"/>
    </row>
    <row r="514" ht="15.75" customHeight="1" s="105">
      <c r="B514" s="97" t="n"/>
      <c r="D514" s="97" t="n"/>
      <c r="E514" s="97" t="n"/>
      <c r="F514" s="97" t="n"/>
      <c r="G514" s="97" t="n"/>
      <c r="H514" s="97" t="n"/>
      <c r="I514" s="97" t="n"/>
      <c r="J514" s="97" t="n"/>
      <c r="K514" s="97" t="n"/>
      <c r="L514" s="97" t="n"/>
      <c r="M514" s="97" t="n"/>
      <c r="N514" s="97" t="n"/>
      <c r="O514" s="97" t="n"/>
      <c r="P514" s="97" t="n"/>
    </row>
    <row r="515" ht="15.75" customHeight="1" s="105">
      <c r="B515" s="97" t="n"/>
      <c r="D515" s="97" t="n"/>
      <c r="E515" s="97" t="n"/>
      <c r="F515" s="97" t="n"/>
      <c r="G515" s="97" t="n"/>
      <c r="H515" s="97" t="n"/>
      <c r="I515" s="97" t="n"/>
      <c r="J515" s="97" t="n"/>
      <c r="K515" s="97" t="n"/>
      <c r="L515" s="97" t="n"/>
      <c r="M515" s="97" t="n"/>
      <c r="N515" s="97" t="n"/>
      <c r="O515" s="97" t="n"/>
      <c r="P515" s="97" t="n"/>
    </row>
    <row r="516" ht="15.75" customHeight="1" s="105">
      <c r="B516" s="97" t="n"/>
      <c r="D516" s="97" t="n"/>
      <c r="E516" s="97" t="n"/>
      <c r="F516" s="97" t="n"/>
      <c r="G516" s="97" t="n"/>
      <c r="H516" s="97" t="n"/>
      <c r="I516" s="97" t="n"/>
      <c r="J516" s="97" t="n"/>
      <c r="K516" s="97" t="n"/>
      <c r="L516" s="97" t="n"/>
      <c r="M516" s="97" t="n"/>
      <c r="N516" s="97" t="n"/>
      <c r="O516" s="97" t="n"/>
      <c r="P516" s="97" t="n"/>
    </row>
    <row r="517" ht="15.75" customHeight="1" s="105">
      <c r="B517" s="97" t="n"/>
      <c r="D517" s="97" t="n"/>
      <c r="E517" s="97" t="n"/>
      <c r="F517" s="97" t="n"/>
      <c r="G517" s="97" t="n"/>
      <c r="H517" s="97" t="n"/>
      <c r="I517" s="97" t="n"/>
      <c r="J517" s="97" t="n"/>
      <c r="K517" s="97" t="n"/>
      <c r="L517" s="97" t="n"/>
      <c r="M517" s="97" t="n"/>
      <c r="N517" s="97" t="n"/>
      <c r="O517" s="97" t="n"/>
      <c r="P517" s="97" t="n"/>
    </row>
    <row r="518" ht="15.75" customHeight="1" s="105">
      <c r="B518" s="97" t="n"/>
      <c r="D518" s="97" t="n"/>
      <c r="E518" s="97" t="n"/>
      <c r="F518" s="97" t="n"/>
      <c r="G518" s="97" t="n"/>
      <c r="H518" s="97" t="n"/>
      <c r="I518" s="97" t="n"/>
      <c r="J518" s="97" t="n"/>
      <c r="K518" s="97" t="n"/>
      <c r="L518" s="97" t="n"/>
      <c r="M518" s="97" t="n"/>
      <c r="N518" s="97" t="n"/>
      <c r="O518" s="97" t="n"/>
      <c r="P518" s="97" t="n"/>
    </row>
    <row r="519" ht="15.75" customHeight="1" s="105">
      <c r="B519" s="97" t="n"/>
      <c r="D519" s="97" t="n"/>
      <c r="E519" s="97" t="n"/>
      <c r="F519" s="97" t="n"/>
      <c r="G519" s="97" t="n"/>
      <c r="H519" s="97" t="n"/>
      <c r="I519" s="97" t="n"/>
      <c r="J519" s="97" t="n"/>
      <c r="K519" s="97" t="n"/>
      <c r="L519" s="97" t="n"/>
      <c r="M519" s="97" t="n"/>
      <c r="N519" s="97" t="n"/>
      <c r="O519" s="97" t="n"/>
      <c r="P519" s="97" t="n"/>
    </row>
    <row r="520" ht="15.75" customHeight="1" s="105">
      <c r="B520" s="97" t="n"/>
      <c r="D520" s="97" t="n"/>
      <c r="E520" s="97" t="n"/>
      <c r="F520" s="97" t="n"/>
      <c r="G520" s="97" t="n"/>
      <c r="H520" s="97" t="n"/>
      <c r="I520" s="97" t="n"/>
      <c r="J520" s="97" t="n"/>
      <c r="K520" s="97" t="n"/>
      <c r="L520" s="97" t="n"/>
      <c r="M520" s="97" t="n"/>
      <c r="N520" s="97" t="n"/>
      <c r="O520" s="97" t="n"/>
      <c r="P520" s="97" t="n"/>
    </row>
    <row r="521" ht="15.75" customHeight="1" s="105">
      <c r="B521" s="97" t="n"/>
      <c r="D521" s="97" t="n"/>
      <c r="E521" s="97" t="n"/>
      <c r="F521" s="97" t="n"/>
      <c r="G521" s="97" t="n"/>
      <c r="H521" s="97" t="n"/>
      <c r="I521" s="97" t="n"/>
      <c r="J521" s="97" t="n"/>
      <c r="K521" s="97" t="n"/>
      <c r="L521" s="97" t="n"/>
      <c r="M521" s="97" t="n"/>
      <c r="N521" s="97" t="n"/>
      <c r="O521" s="97" t="n"/>
      <c r="P521" s="97" t="n"/>
    </row>
    <row r="522" ht="15.75" customHeight="1" s="105">
      <c r="B522" s="97" t="n"/>
      <c r="D522" s="97" t="n"/>
      <c r="E522" s="97" t="n"/>
      <c r="F522" s="97" t="n"/>
      <c r="G522" s="97" t="n"/>
      <c r="H522" s="97" t="n"/>
      <c r="I522" s="97" t="n"/>
      <c r="J522" s="97" t="n"/>
      <c r="K522" s="97" t="n"/>
      <c r="L522" s="97" t="n"/>
      <c r="M522" s="97" t="n"/>
      <c r="N522" s="97" t="n"/>
      <c r="O522" s="97" t="n"/>
      <c r="P522" s="97" t="n"/>
    </row>
    <row r="523" ht="15.75" customHeight="1" s="105">
      <c r="B523" s="97" t="n"/>
      <c r="D523" s="97" t="n"/>
      <c r="E523" s="97" t="n"/>
      <c r="F523" s="97" t="n"/>
      <c r="G523" s="97" t="n"/>
      <c r="H523" s="97" t="n"/>
      <c r="I523" s="97" t="n"/>
      <c r="J523" s="97" t="n"/>
      <c r="K523" s="97" t="n"/>
      <c r="L523" s="97" t="n"/>
      <c r="M523" s="97" t="n"/>
      <c r="N523" s="97" t="n"/>
      <c r="O523" s="97" t="n"/>
      <c r="P523" s="97" t="n"/>
    </row>
    <row r="524" ht="15.75" customHeight="1" s="105">
      <c r="B524" s="97" t="n"/>
      <c r="D524" s="97" t="n"/>
      <c r="E524" s="97" t="n"/>
      <c r="F524" s="97" t="n"/>
      <c r="G524" s="97" t="n"/>
      <c r="H524" s="97" t="n"/>
      <c r="I524" s="97" t="n"/>
      <c r="J524" s="97" t="n"/>
      <c r="K524" s="97" t="n"/>
      <c r="L524" s="97" t="n"/>
      <c r="M524" s="97" t="n"/>
      <c r="N524" s="97" t="n"/>
      <c r="O524" s="97" t="n"/>
      <c r="P524" s="97" t="n"/>
    </row>
    <row r="525" ht="15.75" customHeight="1" s="105">
      <c r="B525" s="97" t="n"/>
      <c r="D525" s="97" t="n"/>
      <c r="E525" s="97" t="n"/>
      <c r="F525" s="97" t="n"/>
      <c r="G525" s="97" t="n"/>
      <c r="H525" s="97" t="n"/>
      <c r="I525" s="97" t="n"/>
      <c r="J525" s="97" t="n"/>
      <c r="K525" s="97" t="n"/>
      <c r="L525" s="97" t="n"/>
      <c r="M525" s="97" t="n"/>
      <c r="N525" s="97" t="n"/>
      <c r="O525" s="97" t="n"/>
      <c r="P525" s="97" t="n"/>
    </row>
    <row r="526" ht="15.75" customHeight="1" s="105">
      <c r="B526" s="97" t="n"/>
      <c r="D526" s="97" t="n"/>
      <c r="E526" s="97" t="n"/>
      <c r="F526" s="97" t="n"/>
      <c r="G526" s="97" t="n"/>
      <c r="H526" s="97" t="n"/>
      <c r="I526" s="97" t="n"/>
      <c r="J526" s="97" t="n"/>
      <c r="K526" s="97" t="n"/>
      <c r="L526" s="97" t="n"/>
      <c r="M526" s="97" t="n"/>
      <c r="N526" s="97" t="n"/>
      <c r="O526" s="97" t="n"/>
      <c r="P526" s="97" t="n"/>
    </row>
    <row r="527" ht="15.75" customHeight="1" s="105">
      <c r="B527" s="97" t="n"/>
      <c r="D527" s="97" t="n"/>
      <c r="E527" s="97" t="n"/>
      <c r="F527" s="97" t="n"/>
      <c r="G527" s="97" t="n"/>
      <c r="H527" s="97" t="n"/>
      <c r="I527" s="97" t="n"/>
      <c r="J527" s="97" t="n"/>
      <c r="K527" s="97" t="n"/>
      <c r="L527" s="97" t="n"/>
      <c r="M527" s="97" t="n"/>
      <c r="N527" s="97" t="n"/>
      <c r="O527" s="97" t="n"/>
      <c r="P527" s="97" t="n"/>
    </row>
    <row r="528" ht="15.75" customHeight="1" s="105">
      <c r="B528" s="97" t="n"/>
      <c r="D528" s="97" t="n"/>
      <c r="E528" s="97" t="n"/>
      <c r="F528" s="97" t="n"/>
      <c r="G528" s="97" t="n"/>
      <c r="H528" s="97" t="n"/>
      <c r="I528" s="97" t="n"/>
      <c r="J528" s="97" t="n"/>
      <c r="K528" s="97" t="n"/>
      <c r="L528" s="97" t="n"/>
      <c r="M528" s="97" t="n"/>
      <c r="N528" s="97" t="n"/>
      <c r="O528" s="97" t="n"/>
      <c r="P528" s="97" t="n"/>
    </row>
    <row r="529" ht="15.75" customHeight="1" s="105">
      <c r="B529" s="97" t="n"/>
      <c r="D529" s="97" t="n"/>
      <c r="E529" s="97" t="n"/>
      <c r="F529" s="97" t="n"/>
      <c r="G529" s="97" t="n"/>
      <c r="H529" s="97" t="n"/>
      <c r="I529" s="97" t="n"/>
      <c r="J529" s="97" t="n"/>
      <c r="K529" s="97" t="n"/>
      <c r="L529" s="97" t="n"/>
      <c r="M529" s="97" t="n"/>
      <c r="N529" s="97" t="n"/>
      <c r="O529" s="97" t="n"/>
      <c r="P529" s="97" t="n"/>
    </row>
    <row r="530" ht="15.75" customHeight="1" s="105">
      <c r="B530" s="97" t="n"/>
      <c r="D530" s="97" t="n"/>
      <c r="E530" s="97" t="n"/>
      <c r="F530" s="97" t="n"/>
      <c r="G530" s="97" t="n"/>
      <c r="H530" s="97" t="n"/>
      <c r="I530" s="97" t="n"/>
      <c r="J530" s="97" t="n"/>
      <c r="K530" s="97" t="n"/>
      <c r="L530" s="97" t="n"/>
      <c r="M530" s="97" t="n"/>
      <c r="N530" s="97" t="n"/>
      <c r="O530" s="97" t="n"/>
      <c r="P530" s="97" t="n"/>
    </row>
    <row r="531" ht="15.75" customHeight="1" s="105">
      <c r="B531" s="97" t="n"/>
      <c r="D531" s="97" t="n"/>
      <c r="E531" s="97" t="n"/>
      <c r="F531" s="97" t="n"/>
      <c r="G531" s="97" t="n"/>
      <c r="H531" s="97" t="n"/>
      <c r="I531" s="97" t="n"/>
      <c r="J531" s="97" t="n"/>
      <c r="K531" s="97" t="n"/>
      <c r="L531" s="97" t="n"/>
      <c r="M531" s="97" t="n"/>
      <c r="N531" s="97" t="n"/>
      <c r="O531" s="97" t="n"/>
      <c r="P531" s="97" t="n"/>
    </row>
    <row r="532" ht="15.75" customHeight="1" s="105">
      <c r="B532" s="97" t="n"/>
      <c r="D532" s="97" t="n"/>
      <c r="E532" s="97" t="n"/>
      <c r="F532" s="97" t="n"/>
      <c r="G532" s="97" t="n"/>
      <c r="H532" s="97" t="n"/>
      <c r="I532" s="97" t="n"/>
      <c r="J532" s="97" t="n"/>
      <c r="K532" s="97" t="n"/>
      <c r="L532" s="97" t="n"/>
      <c r="M532" s="97" t="n"/>
      <c r="N532" s="97" t="n"/>
      <c r="O532" s="97" t="n"/>
      <c r="P532" s="97" t="n"/>
    </row>
    <row r="533" ht="15.75" customHeight="1" s="105">
      <c r="B533" s="97" t="n"/>
      <c r="D533" s="97" t="n"/>
      <c r="E533" s="97" t="n"/>
      <c r="F533" s="97" t="n"/>
      <c r="G533" s="97" t="n"/>
      <c r="H533" s="97" t="n"/>
      <c r="I533" s="97" t="n"/>
      <c r="J533" s="97" t="n"/>
      <c r="K533" s="97" t="n"/>
      <c r="L533" s="97" t="n"/>
      <c r="M533" s="97" t="n"/>
      <c r="N533" s="97" t="n"/>
      <c r="O533" s="97" t="n"/>
      <c r="P533" s="97" t="n"/>
    </row>
    <row r="534" ht="15.75" customHeight="1" s="105">
      <c r="B534" s="97" t="n"/>
      <c r="D534" s="97" t="n"/>
      <c r="E534" s="97" t="n"/>
      <c r="F534" s="97" t="n"/>
      <c r="G534" s="97" t="n"/>
      <c r="H534" s="97" t="n"/>
      <c r="I534" s="97" t="n"/>
      <c r="J534" s="97" t="n"/>
      <c r="K534" s="97" t="n"/>
      <c r="L534" s="97" t="n"/>
      <c r="M534" s="97" t="n"/>
      <c r="N534" s="97" t="n"/>
      <c r="O534" s="97" t="n"/>
      <c r="P534" s="97" t="n"/>
    </row>
    <row r="535" ht="15.75" customHeight="1" s="105">
      <c r="B535" s="97" t="n"/>
      <c r="D535" s="97" t="n"/>
      <c r="E535" s="97" t="n"/>
      <c r="F535" s="97" t="n"/>
      <c r="G535" s="97" t="n"/>
      <c r="H535" s="97" t="n"/>
      <c r="I535" s="97" t="n"/>
      <c r="J535" s="97" t="n"/>
      <c r="K535" s="97" t="n"/>
      <c r="L535" s="97" t="n"/>
      <c r="M535" s="97" t="n"/>
      <c r="N535" s="97" t="n"/>
      <c r="O535" s="97" t="n"/>
      <c r="P535" s="97" t="n"/>
    </row>
    <row r="536" ht="15.75" customHeight="1" s="105">
      <c r="B536" s="97" t="n"/>
      <c r="D536" s="97" t="n"/>
      <c r="E536" s="97" t="n"/>
      <c r="F536" s="97" t="n"/>
      <c r="G536" s="97" t="n"/>
      <c r="H536" s="97" t="n"/>
      <c r="I536" s="97" t="n"/>
      <c r="J536" s="97" t="n"/>
      <c r="K536" s="97" t="n"/>
      <c r="L536" s="97" t="n"/>
      <c r="M536" s="97" t="n"/>
      <c r="N536" s="97" t="n"/>
      <c r="O536" s="97" t="n"/>
      <c r="P536" s="97" t="n"/>
    </row>
    <row r="537" ht="15.75" customHeight="1" s="105">
      <c r="B537" s="97" t="n"/>
      <c r="D537" s="97" t="n"/>
      <c r="E537" s="97" t="n"/>
      <c r="F537" s="97" t="n"/>
      <c r="G537" s="97" t="n"/>
      <c r="H537" s="97" t="n"/>
      <c r="I537" s="97" t="n"/>
      <c r="J537" s="97" t="n"/>
      <c r="K537" s="97" t="n"/>
      <c r="L537" s="97" t="n"/>
      <c r="M537" s="97" t="n"/>
      <c r="N537" s="97" t="n"/>
      <c r="O537" s="97" t="n"/>
      <c r="P537" s="97" t="n"/>
    </row>
    <row r="538" ht="15.75" customHeight="1" s="105">
      <c r="B538" s="97" t="n"/>
      <c r="D538" s="97" t="n"/>
      <c r="E538" s="97" t="n"/>
      <c r="F538" s="97" t="n"/>
      <c r="G538" s="97" t="n"/>
      <c r="H538" s="97" t="n"/>
      <c r="I538" s="97" t="n"/>
      <c r="J538" s="97" t="n"/>
      <c r="K538" s="97" t="n"/>
      <c r="L538" s="97" t="n"/>
      <c r="M538" s="97" t="n"/>
      <c r="N538" s="97" t="n"/>
      <c r="O538" s="97" t="n"/>
      <c r="P538" s="97" t="n"/>
    </row>
    <row r="539" ht="15.75" customHeight="1" s="105">
      <c r="B539" s="97" t="n"/>
      <c r="D539" s="97" t="n"/>
      <c r="E539" s="97" t="n"/>
      <c r="F539" s="97" t="n"/>
      <c r="G539" s="97" t="n"/>
      <c r="H539" s="97" t="n"/>
      <c r="I539" s="97" t="n"/>
      <c r="J539" s="97" t="n"/>
      <c r="K539" s="97" t="n"/>
      <c r="L539" s="97" t="n"/>
      <c r="M539" s="97" t="n"/>
      <c r="N539" s="97" t="n"/>
      <c r="O539" s="97" t="n"/>
      <c r="P539" s="97" t="n"/>
    </row>
    <row r="540" ht="15.75" customHeight="1" s="105">
      <c r="B540" s="97" t="n"/>
      <c r="D540" s="97" t="n"/>
      <c r="E540" s="97" t="n"/>
      <c r="F540" s="97" t="n"/>
      <c r="G540" s="97" t="n"/>
      <c r="H540" s="97" t="n"/>
      <c r="I540" s="97" t="n"/>
      <c r="J540" s="97" t="n"/>
      <c r="K540" s="97" t="n"/>
      <c r="L540" s="97" t="n"/>
      <c r="M540" s="97" t="n"/>
      <c r="N540" s="97" t="n"/>
      <c r="O540" s="97" t="n"/>
      <c r="P540" s="97" t="n"/>
    </row>
    <row r="541" ht="15.75" customHeight="1" s="105">
      <c r="B541" s="97" t="n"/>
      <c r="D541" s="97" t="n"/>
      <c r="E541" s="97" t="n"/>
      <c r="F541" s="97" t="n"/>
      <c r="G541" s="97" t="n"/>
      <c r="H541" s="97" t="n"/>
      <c r="I541" s="97" t="n"/>
      <c r="J541" s="97" t="n"/>
      <c r="K541" s="97" t="n"/>
      <c r="L541" s="97" t="n"/>
      <c r="M541" s="97" t="n"/>
      <c r="N541" s="97" t="n"/>
      <c r="O541" s="97" t="n"/>
      <c r="P541" s="97" t="n"/>
    </row>
    <row r="542" ht="15.75" customHeight="1" s="105">
      <c r="B542" s="97" t="n"/>
      <c r="D542" s="97" t="n"/>
      <c r="E542" s="97" t="n"/>
      <c r="F542" s="97" t="n"/>
      <c r="G542" s="97" t="n"/>
      <c r="H542" s="97" t="n"/>
      <c r="I542" s="97" t="n"/>
      <c r="J542" s="97" t="n"/>
      <c r="K542" s="97" t="n"/>
      <c r="L542" s="97" t="n"/>
      <c r="M542" s="97" t="n"/>
      <c r="N542" s="97" t="n"/>
      <c r="O542" s="97" t="n"/>
      <c r="P542" s="97" t="n"/>
    </row>
    <row r="543" ht="15.75" customHeight="1" s="105">
      <c r="B543" s="97" t="n"/>
      <c r="D543" s="97" t="n"/>
      <c r="E543" s="97" t="n"/>
      <c r="F543" s="97" t="n"/>
      <c r="G543" s="97" t="n"/>
      <c r="H543" s="97" t="n"/>
      <c r="I543" s="97" t="n"/>
      <c r="J543" s="97" t="n"/>
      <c r="K543" s="97" t="n"/>
      <c r="L543" s="97" t="n"/>
      <c r="M543" s="97" t="n"/>
      <c r="N543" s="97" t="n"/>
      <c r="O543" s="97" t="n"/>
      <c r="P543" s="97" t="n"/>
    </row>
    <row r="544" ht="15.75" customHeight="1" s="105">
      <c r="B544" s="97" t="n"/>
      <c r="D544" s="97" t="n"/>
      <c r="E544" s="97" t="n"/>
      <c r="F544" s="97" t="n"/>
      <c r="G544" s="97" t="n"/>
      <c r="H544" s="97" t="n"/>
      <c r="I544" s="97" t="n"/>
      <c r="J544" s="97" t="n"/>
      <c r="K544" s="97" t="n"/>
      <c r="L544" s="97" t="n"/>
      <c r="M544" s="97" t="n"/>
      <c r="N544" s="97" t="n"/>
      <c r="O544" s="97" t="n"/>
      <c r="P544" s="97" t="n"/>
    </row>
    <row r="545" ht="15.75" customHeight="1" s="105">
      <c r="B545" s="97" t="n"/>
      <c r="D545" s="97" t="n"/>
      <c r="E545" s="97" t="n"/>
      <c r="F545" s="97" t="n"/>
      <c r="G545" s="97" t="n"/>
      <c r="H545" s="97" t="n"/>
      <c r="I545" s="97" t="n"/>
      <c r="J545" s="97" t="n"/>
      <c r="K545" s="97" t="n"/>
      <c r="L545" s="97" t="n"/>
      <c r="M545" s="97" t="n"/>
      <c r="N545" s="97" t="n"/>
      <c r="O545" s="97" t="n"/>
      <c r="P545" s="97" t="n"/>
    </row>
    <row r="546" ht="15.75" customHeight="1" s="105">
      <c r="B546" s="97" t="n"/>
      <c r="D546" s="97" t="n"/>
      <c r="E546" s="97" t="n"/>
      <c r="F546" s="97" t="n"/>
      <c r="G546" s="97" t="n"/>
      <c r="H546" s="97" t="n"/>
      <c r="I546" s="97" t="n"/>
      <c r="J546" s="97" t="n"/>
      <c r="K546" s="97" t="n"/>
      <c r="L546" s="97" t="n"/>
      <c r="M546" s="97" t="n"/>
      <c r="N546" s="97" t="n"/>
      <c r="O546" s="97" t="n"/>
      <c r="P546" s="97" t="n"/>
    </row>
    <row r="547" ht="15.75" customHeight="1" s="105">
      <c r="B547" s="97" t="n"/>
      <c r="D547" s="97" t="n"/>
      <c r="E547" s="97" t="n"/>
      <c r="F547" s="97" t="n"/>
      <c r="G547" s="97" t="n"/>
      <c r="H547" s="97" t="n"/>
      <c r="I547" s="97" t="n"/>
      <c r="J547" s="97" t="n"/>
      <c r="K547" s="97" t="n"/>
      <c r="L547" s="97" t="n"/>
      <c r="M547" s="97" t="n"/>
      <c r="N547" s="97" t="n"/>
      <c r="O547" s="97" t="n"/>
      <c r="P547" s="97" t="n"/>
    </row>
    <row r="548" ht="15.75" customHeight="1" s="105">
      <c r="B548" s="97" t="n"/>
      <c r="D548" s="97" t="n"/>
      <c r="E548" s="97" t="n"/>
      <c r="F548" s="97" t="n"/>
      <c r="G548" s="97" t="n"/>
      <c r="H548" s="97" t="n"/>
      <c r="I548" s="97" t="n"/>
      <c r="J548" s="97" t="n"/>
      <c r="K548" s="97" t="n"/>
      <c r="L548" s="97" t="n"/>
      <c r="M548" s="97" t="n"/>
      <c r="N548" s="97" t="n"/>
      <c r="O548" s="97" t="n"/>
      <c r="P548" s="97" t="n"/>
    </row>
    <row r="549" ht="15.75" customHeight="1" s="105">
      <c r="B549" s="97" t="n"/>
      <c r="D549" s="97" t="n"/>
      <c r="E549" s="97" t="n"/>
      <c r="F549" s="97" t="n"/>
      <c r="G549" s="97" t="n"/>
      <c r="H549" s="97" t="n"/>
      <c r="I549" s="97" t="n"/>
      <c r="J549" s="97" t="n"/>
      <c r="K549" s="97" t="n"/>
      <c r="L549" s="97" t="n"/>
      <c r="M549" s="97" t="n"/>
      <c r="N549" s="97" t="n"/>
      <c r="O549" s="97" t="n"/>
      <c r="P549" s="97" t="n"/>
    </row>
    <row r="550" ht="15.75" customHeight="1" s="105">
      <c r="B550" s="97" t="n"/>
      <c r="D550" s="97" t="n"/>
      <c r="E550" s="97" t="n"/>
      <c r="F550" s="97" t="n"/>
      <c r="G550" s="97" t="n"/>
      <c r="H550" s="97" t="n"/>
      <c r="I550" s="97" t="n"/>
      <c r="J550" s="97" t="n"/>
      <c r="K550" s="97" t="n"/>
      <c r="L550" s="97" t="n"/>
      <c r="M550" s="97" t="n"/>
      <c r="N550" s="97" t="n"/>
      <c r="O550" s="97" t="n"/>
      <c r="P550" s="97" t="n"/>
    </row>
    <row r="551" ht="15.75" customHeight="1" s="105">
      <c r="B551" s="97" t="n"/>
      <c r="D551" s="97" t="n"/>
      <c r="E551" s="97" t="n"/>
      <c r="F551" s="97" t="n"/>
      <c r="G551" s="97" t="n"/>
      <c r="H551" s="97" t="n"/>
      <c r="I551" s="97" t="n"/>
      <c r="J551" s="97" t="n"/>
      <c r="K551" s="97" t="n"/>
      <c r="L551" s="97" t="n"/>
      <c r="M551" s="97" t="n"/>
      <c r="N551" s="97" t="n"/>
      <c r="O551" s="97" t="n"/>
      <c r="P551" s="97" t="n"/>
    </row>
    <row r="552" ht="15.75" customHeight="1" s="105">
      <c r="B552" s="97" t="n"/>
      <c r="D552" s="97" t="n"/>
      <c r="E552" s="97" t="n"/>
      <c r="F552" s="97" t="n"/>
      <c r="G552" s="97" t="n"/>
      <c r="H552" s="97" t="n"/>
      <c r="I552" s="97" t="n"/>
      <c r="J552" s="97" t="n"/>
      <c r="K552" s="97" t="n"/>
      <c r="L552" s="97" t="n"/>
      <c r="M552" s="97" t="n"/>
      <c r="N552" s="97" t="n"/>
      <c r="O552" s="97" t="n"/>
      <c r="P552" s="97" t="n"/>
    </row>
    <row r="553" ht="15.75" customHeight="1" s="105">
      <c r="B553" s="97" t="n"/>
      <c r="D553" s="97" t="n"/>
      <c r="E553" s="97" t="n"/>
      <c r="F553" s="97" t="n"/>
      <c r="G553" s="97" t="n"/>
      <c r="H553" s="97" t="n"/>
      <c r="I553" s="97" t="n"/>
      <c r="J553" s="97" t="n"/>
      <c r="K553" s="97" t="n"/>
      <c r="L553" s="97" t="n"/>
      <c r="M553" s="97" t="n"/>
      <c r="N553" s="97" t="n"/>
      <c r="O553" s="97" t="n"/>
      <c r="P553" s="97" t="n"/>
    </row>
    <row r="554" ht="15.75" customHeight="1" s="105">
      <c r="B554" s="97" t="n"/>
      <c r="D554" s="97" t="n"/>
      <c r="E554" s="97" t="n"/>
      <c r="F554" s="97" t="n"/>
      <c r="G554" s="97" t="n"/>
      <c r="H554" s="97" t="n"/>
      <c r="I554" s="97" t="n"/>
      <c r="J554" s="97" t="n"/>
      <c r="K554" s="97" t="n"/>
      <c r="L554" s="97" t="n"/>
      <c r="M554" s="97" t="n"/>
      <c r="N554" s="97" t="n"/>
      <c r="O554" s="97" t="n"/>
      <c r="P554" s="97" t="n"/>
    </row>
    <row r="555" ht="15.75" customHeight="1" s="105">
      <c r="B555" s="97" t="n"/>
      <c r="D555" s="97" t="n"/>
      <c r="E555" s="97" t="n"/>
      <c r="F555" s="97" t="n"/>
      <c r="G555" s="97" t="n"/>
      <c r="H555" s="97" t="n"/>
      <c r="I555" s="97" t="n"/>
      <c r="J555" s="97" t="n"/>
      <c r="K555" s="97" t="n"/>
      <c r="L555" s="97" t="n"/>
      <c r="M555" s="97" t="n"/>
      <c r="N555" s="97" t="n"/>
      <c r="O555" s="97" t="n"/>
      <c r="P555" s="97" t="n"/>
    </row>
    <row r="556" ht="15.75" customHeight="1" s="105">
      <c r="B556" s="97" t="n"/>
      <c r="D556" s="97" t="n"/>
      <c r="E556" s="97" t="n"/>
      <c r="F556" s="97" t="n"/>
      <c r="G556" s="97" t="n"/>
      <c r="H556" s="97" t="n"/>
      <c r="I556" s="97" t="n"/>
      <c r="J556" s="97" t="n"/>
      <c r="K556" s="97" t="n"/>
      <c r="L556" s="97" t="n"/>
      <c r="M556" s="97" t="n"/>
      <c r="N556" s="97" t="n"/>
      <c r="O556" s="97" t="n"/>
      <c r="P556" s="97" t="n"/>
    </row>
    <row r="557" ht="15.75" customHeight="1" s="105">
      <c r="B557" s="97" t="n"/>
      <c r="D557" s="97" t="n"/>
      <c r="E557" s="97" t="n"/>
      <c r="F557" s="97" t="n"/>
      <c r="G557" s="97" t="n"/>
      <c r="H557" s="97" t="n"/>
      <c r="I557" s="97" t="n"/>
      <c r="J557" s="97" t="n"/>
      <c r="K557" s="97" t="n"/>
      <c r="L557" s="97" t="n"/>
      <c r="M557" s="97" t="n"/>
      <c r="N557" s="97" t="n"/>
      <c r="O557" s="97" t="n"/>
      <c r="P557" s="97" t="n"/>
    </row>
    <row r="558" ht="15.75" customHeight="1" s="105">
      <c r="B558" s="97" t="n"/>
      <c r="D558" s="97" t="n"/>
      <c r="E558" s="97" t="n"/>
      <c r="F558" s="97" t="n"/>
      <c r="G558" s="97" t="n"/>
      <c r="H558" s="97" t="n"/>
      <c r="I558" s="97" t="n"/>
      <c r="J558" s="97" t="n"/>
      <c r="K558" s="97" t="n"/>
      <c r="L558" s="97" t="n"/>
      <c r="M558" s="97" t="n"/>
      <c r="N558" s="97" t="n"/>
      <c r="O558" s="97" t="n"/>
      <c r="P558" s="97" t="n"/>
    </row>
    <row r="559" ht="15.75" customHeight="1" s="105">
      <c r="B559" s="97" t="n"/>
      <c r="D559" s="97" t="n"/>
      <c r="E559" s="97" t="n"/>
      <c r="F559" s="97" t="n"/>
      <c r="G559" s="97" t="n"/>
      <c r="H559" s="97" t="n"/>
      <c r="I559" s="97" t="n"/>
      <c r="J559" s="97" t="n"/>
      <c r="K559" s="97" t="n"/>
      <c r="L559" s="97" t="n"/>
      <c r="M559" s="97" t="n"/>
      <c r="N559" s="97" t="n"/>
      <c r="O559" s="97" t="n"/>
      <c r="P559" s="97" t="n"/>
    </row>
    <row r="560" ht="15.75" customHeight="1" s="105">
      <c r="B560" s="97" t="n"/>
      <c r="D560" s="97" t="n"/>
      <c r="E560" s="97" t="n"/>
      <c r="F560" s="97" t="n"/>
      <c r="G560" s="97" t="n"/>
      <c r="H560" s="97" t="n"/>
      <c r="I560" s="97" t="n"/>
      <c r="J560" s="97" t="n"/>
      <c r="K560" s="97" t="n"/>
      <c r="L560" s="97" t="n"/>
      <c r="M560" s="97" t="n"/>
      <c r="N560" s="97" t="n"/>
      <c r="O560" s="97" t="n"/>
      <c r="P560" s="97" t="n"/>
    </row>
    <row r="561" ht="15.75" customHeight="1" s="105">
      <c r="B561" s="97" t="n"/>
      <c r="D561" s="97" t="n"/>
      <c r="E561" s="97" t="n"/>
      <c r="F561" s="97" t="n"/>
      <c r="G561" s="97" t="n"/>
      <c r="H561" s="97" t="n"/>
      <c r="I561" s="97" t="n"/>
      <c r="J561" s="97" t="n"/>
      <c r="K561" s="97" t="n"/>
      <c r="L561" s="97" t="n"/>
      <c r="M561" s="97" t="n"/>
      <c r="N561" s="97" t="n"/>
      <c r="O561" s="97" t="n"/>
      <c r="P561" s="97" t="n"/>
    </row>
    <row r="562" ht="15.75" customHeight="1" s="105">
      <c r="B562" s="97" t="n"/>
      <c r="D562" s="97" t="n"/>
      <c r="E562" s="97" t="n"/>
      <c r="F562" s="97" t="n"/>
      <c r="G562" s="97" t="n"/>
      <c r="H562" s="97" t="n"/>
      <c r="I562" s="97" t="n"/>
      <c r="J562" s="97" t="n"/>
      <c r="K562" s="97" t="n"/>
      <c r="L562" s="97" t="n"/>
      <c r="M562" s="97" t="n"/>
      <c r="N562" s="97" t="n"/>
      <c r="O562" s="97" t="n"/>
      <c r="P562" s="97" t="n"/>
    </row>
    <row r="563" ht="15.75" customHeight="1" s="105">
      <c r="B563" s="97" t="n"/>
      <c r="D563" s="97" t="n"/>
      <c r="E563" s="97" t="n"/>
      <c r="F563" s="97" t="n"/>
      <c r="G563" s="97" t="n"/>
      <c r="H563" s="97" t="n"/>
      <c r="I563" s="97" t="n"/>
      <c r="J563" s="97" t="n"/>
      <c r="K563" s="97" t="n"/>
      <c r="L563" s="97" t="n"/>
      <c r="M563" s="97" t="n"/>
      <c r="N563" s="97" t="n"/>
      <c r="O563" s="97" t="n"/>
      <c r="P563" s="97" t="n"/>
    </row>
    <row r="564" ht="15.75" customHeight="1" s="105">
      <c r="B564" s="97" t="n"/>
      <c r="D564" s="97" t="n"/>
      <c r="E564" s="97" t="n"/>
      <c r="F564" s="97" t="n"/>
      <c r="G564" s="97" t="n"/>
      <c r="H564" s="97" t="n"/>
      <c r="I564" s="97" t="n"/>
      <c r="J564" s="97" t="n"/>
      <c r="K564" s="97" t="n"/>
      <c r="L564" s="97" t="n"/>
      <c r="M564" s="97" t="n"/>
      <c r="N564" s="97" t="n"/>
      <c r="O564" s="97" t="n"/>
      <c r="P564" s="97" t="n"/>
    </row>
    <row r="565" ht="15.75" customHeight="1" s="105">
      <c r="B565" s="97" t="n"/>
      <c r="D565" s="97" t="n"/>
      <c r="E565" s="97" t="n"/>
      <c r="F565" s="97" t="n"/>
      <c r="G565" s="97" t="n"/>
      <c r="H565" s="97" t="n"/>
      <c r="I565" s="97" t="n"/>
      <c r="J565" s="97" t="n"/>
      <c r="K565" s="97" t="n"/>
      <c r="L565" s="97" t="n"/>
      <c r="M565" s="97" t="n"/>
      <c r="N565" s="97" t="n"/>
      <c r="O565" s="97" t="n"/>
      <c r="P565" s="97" t="n"/>
    </row>
    <row r="566" ht="15.75" customHeight="1" s="105">
      <c r="B566" s="97" t="n"/>
      <c r="D566" s="97" t="n"/>
      <c r="E566" s="97" t="n"/>
      <c r="F566" s="97" t="n"/>
      <c r="G566" s="97" t="n"/>
      <c r="H566" s="97" t="n"/>
      <c r="I566" s="97" t="n"/>
      <c r="J566" s="97" t="n"/>
      <c r="K566" s="97" t="n"/>
      <c r="L566" s="97" t="n"/>
      <c r="M566" s="97" t="n"/>
      <c r="N566" s="97" t="n"/>
      <c r="O566" s="97" t="n"/>
      <c r="P566" s="97" t="n"/>
    </row>
    <row r="567" ht="15.75" customHeight="1" s="105">
      <c r="B567" s="97" t="n"/>
      <c r="D567" s="97" t="n"/>
      <c r="E567" s="97" t="n"/>
      <c r="F567" s="97" t="n"/>
      <c r="G567" s="97" t="n"/>
      <c r="H567" s="97" t="n"/>
      <c r="I567" s="97" t="n"/>
      <c r="J567" s="97" t="n"/>
      <c r="K567" s="97" t="n"/>
      <c r="L567" s="97" t="n"/>
      <c r="M567" s="97" t="n"/>
      <c r="N567" s="97" t="n"/>
      <c r="O567" s="97" t="n"/>
      <c r="P567" s="97" t="n"/>
    </row>
    <row r="568" ht="15.75" customHeight="1" s="105">
      <c r="B568" s="97" t="n"/>
      <c r="D568" s="97" t="n"/>
      <c r="E568" s="97" t="n"/>
      <c r="F568" s="97" t="n"/>
      <c r="G568" s="97" t="n"/>
      <c r="H568" s="97" t="n"/>
      <c r="I568" s="97" t="n"/>
      <c r="J568" s="97" t="n"/>
      <c r="K568" s="97" t="n"/>
      <c r="L568" s="97" t="n"/>
      <c r="M568" s="97" t="n"/>
      <c r="N568" s="97" t="n"/>
      <c r="O568" s="97" t="n"/>
      <c r="P568" s="97" t="n"/>
    </row>
    <row r="569" ht="15.75" customHeight="1" s="105">
      <c r="B569" s="97" t="n"/>
      <c r="D569" s="97" t="n"/>
      <c r="E569" s="97" t="n"/>
      <c r="F569" s="97" t="n"/>
      <c r="G569" s="97" t="n"/>
      <c r="H569" s="97" t="n"/>
      <c r="I569" s="97" t="n"/>
      <c r="J569" s="97" t="n"/>
      <c r="K569" s="97" t="n"/>
      <c r="L569" s="97" t="n"/>
      <c r="M569" s="97" t="n"/>
      <c r="N569" s="97" t="n"/>
      <c r="O569" s="97" t="n"/>
      <c r="P569" s="97" t="n"/>
    </row>
    <row r="570" ht="15.75" customHeight="1" s="105">
      <c r="B570" s="97" t="n"/>
      <c r="D570" s="97" t="n"/>
      <c r="E570" s="97" t="n"/>
      <c r="F570" s="97" t="n"/>
      <c r="G570" s="97" t="n"/>
      <c r="H570" s="97" t="n"/>
      <c r="I570" s="97" t="n"/>
      <c r="J570" s="97" t="n"/>
      <c r="K570" s="97" t="n"/>
      <c r="L570" s="97" t="n"/>
      <c r="M570" s="97" t="n"/>
      <c r="N570" s="97" t="n"/>
      <c r="O570" s="97" t="n"/>
      <c r="P570" s="97" t="n"/>
    </row>
    <row r="571" ht="15.75" customHeight="1" s="105">
      <c r="B571" s="97" t="n"/>
      <c r="D571" s="97" t="n"/>
      <c r="E571" s="97" t="n"/>
      <c r="F571" s="97" t="n"/>
      <c r="G571" s="97" t="n"/>
      <c r="H571" s="97" t="n"/>
      <c r="I571" s="97" t="n"/>
      <c r="J571" s="97" t="n"/>
      <c r="K571" s="97" t="n"/>
      <c r="L571" s="97" t="n"/>
      <c r="M571" s="97" t="n"/>
      <c r="N571" s="97" t="n"/>
      <c r="O571" s="97" t="n"/>
      <c r="P571" s="97" t="n"/>
    </row>
    <row r="572" ht="15.75" customHeight="1" s="105">
      <c r="B572" s="97" t="n"/>
      <c r="D572" s="97" t="n"/>
      <c r="E572" s="97" t="n"/>
      <c r="F572" s="97" t="n"/>
      <c r="G572" s="97" t="n"/>
      <c r="H572" s="97" t="n"/>
      <c r="I572" s="97" t="n"/>
      <c r="J572" s="97" t="n"/>
      <c r="K572" s="97" t="n"/>
      <c r="L572" s="97" t="n"/>
      <c r="M572" s="97" t="n"/>
      <c r="N572" s="97" t="n"/>
      <c r="O572" s="97" t="n"/>
      <c r="P572" s="97" t="n"/>
    </row>
    <row r="573" ht="15.75" customHeight="1" s="105">
      <c r="B573" s="97" t="n"/>
      <c r="D573" s="97" t="n"/>
      <c r="E573" s="97" t="n"/>
      <c r="F573" s="97" t="n"/>
      <c r="G573" s="97" t="n"/>
      <c r="H573" s="97" t="n"/>
      <c r="I573" s="97" t="n"/>
      <c r="J573" s="97" t="n"/>
      <c r="K573" s="97" t="n"/>
      <c r="L573" s="97" t="n"/>
      <c r="M573" s="97" t="n"/>
      <c r="N573" s="97" t="n"/>
      <c r="O573" s="97" t="n"/>
      <c r="P573" s="97" t="n"/>
    </row>
    <row r="574" ht="15.75" customHeight="1" s="105">
      <c r="B574" s="97" t="n"/>
      <c r="D574" s="97" t="n"/>
      <c r="E574" s="97" t="n"/>
      <c r="F574" s="97" t="n"/>
      <c r="G574" s="97" t="n"/>
      <c r="H574" s="97" t="n"/>
      <c r="I574" s="97" t="n"/>
      <c r="J574" s="97" t="n"/>
      <c r="K574" s="97" t="n"/>
      <c r="L574" s="97" t="n"/>
      <c r="M574" s="97" t="n"/>
      <c r="N574" s="97" t="n"/>
      <c r="O574" s="97" t="n"/>
      <c r="P574" s="97" t="n"/>
    </row>
    <row r="575" ht="15.75" customHeight="1" s="105">
      <c r="B575" s="97" t="n"/>
      <c r="D575" s="97" t="n"/>
      <c r="E575" s="97" t="n"/>
      <c r="F575" s="97" t="n"/>
      <c r="G575" s="97" t="n"/>
      <c r="H575" s="97" t="n"/>
      <c r="I575" s="97" t="n"/>
      <c r="J575" s="97" t="n"/>
      <c r="K575" s="97" t="n"/>
      <c r="L575" s="97" t="n"/>
      <c r="M575" s="97" t="n"/>
      <c r="N575" s="97" t="n"/>
      <c r="O575" s="97" t="n"/>
      <c r="P575" s="97" t="n"/>
    </row>
    <row r="576" ht="15.75" customHeight="1" s="105">
      <c r="B576" s="97" t="n"/>
      <c r="D576" s="97" t="n"/>
      <c r="E576" s="97" t="n"/>
      <c r="F576" s="97" t="n"/>
      <c r="G576" s="97" t="n"/>
      <c r="H576" s="97" t="n"/>
      <c r="I576" s="97" t="n"/>
      <c r="J576" s="97" t="n"/>
      <c r="K576" s="97" t="n"/>
      <c r="L576" s="97" t="n"/>
      <c r="M576" s="97" t="n"/>
      <c r="N576" s="97" t="n"/>
      <c r="O576" s="97" t="n"/>
      <c r="P576" s="97" t="n"/>
    </row>
    <row r="577" ht="15.75" customHeight="1" s="105">
      <c r="B577" s="97" t="n"/>
      <c r="D577" s="97" t="n"/>
      <c r="E577" s="97" t="n"/>
      <c r="F577" s="97" t="n"/>
      <c r="G577" s="97" t="n"/>
      <c r="H577" s="97" t="n"/>
      <c r="I577" s="97" t="n"/>
      <c r="J577" s="97" t="n"/>
      <c r="K577" s="97" t="n"/>
      <c r="L577" s="97" t="n"/>
      <c r="M577" s="97" t="n"/>
      <c r="N577" s="97" t="n"/>
      <c r="O577" s="97" t="n"/>
      <c r="P577" s="97" t="n"/>
    </row>
    <row r="578" ht="15.75" customHeight="1" s="105">
      <c r="B578" s="97" t="n"/>
      <c r="D578" s="97" t="n"/>
      <c r="E578" s="97" t="n"/>
      <c r="F578" s="97" t="n"/>
      <c r="G578" s="97" t="n"/>
      <c r="H578" s="97" t="n"/>
      <c r="I578" s="97" t="n"/>
      <c r="J578" s="97" t="n"/>
      <c r="K578" s="97" t="n"/>
      <c r="L578" s="97" t="n"/>
      <c r="M578" s="97" t="n"/>
      <c r="N578" s="97" t="n"/>
      <c r="O578" s="97" t="n"/>
      <c r="P578" s="97" t="n"/>
    </row>
    <row r="579" ht="15.75" customHeight="1" s="105">
      <c r="B579" s="97" t="n"/>
      <c r="D579" s="97" t="n"/>
      <c r="E579" s="97" t="n"/>
      <c r="F579" s="97" t="n"/>
      <c r="G579" s="97" t="n"/>
      <c r="H579" s="97" t="n"/>
      <c r="I579" s="97" t="n"/>
      <c r="J579" s="97" t="n"/>
      <c r="K579" s="97" t="n"/>
      <c r="L579" s="97" t="n"/>
      <c r="M579" s="97" t="n"/>
      <c r="N579" s="97" t="n"/>
      <c r="O579" s="97" t="n"/>
      <c r="P579" s="97" t="n"/>
    </row>
    <row r="580" ht="15.75" customHeight="1" s="105">
      <c r="B580" s="97" t="n"/>
      <c r="D580" s="97" t="n"/>
      <c r="E580" s="97" t="n"/>
      <c r="F580" s="97" t="n"/>
      <c r="G580" s="97" t="n"/>
      <c r="H580" s="97" t="n"/>
      <c r="I580" s="97" t="n"/>
      <c r="J580" s="97" t="n"/>
      <c r="K580" s="97" t="n"/>
      <c r="L580" s="97" t="n"/>
      <c r="M580" s="97" t="n"/>
      <c r="N580" s="97" t="n"/>
      <c r="O580" s="97" t="n"/>
      <c r="P580" s="97" t="n"/>
    </row>
    <row r="581" ht="15.75" customHeight="1" s="105">
      <c r="B581" s="97" t="n"/>
      <c r="D581" s="97" t="n"/>
      <c r="E581" s="97" t="n"/>
      <c r="F581" s="97" t="n"/>
      <c r="G581" s="97" t="n"/>
      <c r="H581" s="97" t="n"/>
      <c r="I581" s="97" t="n"/>
      <c r="J581" s="97" t="n"/>
      <c r="K581" s="97" t="n"/>
      <c r="L581" s="97" t="n"/>
      <c r="M581" s="97" t="n"/>
      <c r="N581" s="97" t="n"/>
      <c r="O581" s="97" t="n"/>
      <c r="P581" s="97" t="n"/>
    </row>
    <row r="582" ht="15.75" customHeight="1" s="105">
      <c r="B582" s="97" t="n"/>
      <c r="D582" s="97" t="n"/>
      <c r="E582" s="97" t="n"/>
      <c r="F582" s="97" t="n"/>
      <c r="G582" s="97" t="n"/>
      <c r="H582" s="97" t="n"/>
      <c r="I582" s="97" t="n"/>
      <c r="J582" s="97" t="n"/>
      <c r="K582" s="97" t="n"/>
      <c r="L582" s="97" t="n"/>
      <c r="M582" s="97" t="n"/>
      <c r="N582" s="97" t="n"/>
      <c r="O582" s="97" t="n"/>
      <c r="P582" s="97" t="n"/>
    </row>
    <row r="583" ht="15.75" customHeight="1" s="105">
      <c r="B583" s="97" t="n"/>
      <c r="D583" s="97" t="n"/>
      <c r="E583" s="97" t="n"/>
      <c r="F583" s="97" t="n"/>
      <c r="G583" s="97" t="n"/>
      <c r="H583" s="97" t="n"/>
      <c r="I583" s="97" t="n"/>
      <c r="J583" s="97" t="n"/>
      <c r="K583" s="97" t="n"/>
      <c r="L583" s="97" t="n"/>
      <c r="M583" s="97" t="n"/>
      <c r="N583" s="97" t="n"/>
      <c r="O583" s="97" t="n"/>
      <c r="P583" s="97" t="n"/>
    </row>
    <row r="584" ht="15.75" customHeight="1" s="105">
      <c r="B584" s="97" t="n"/>
      <c r="D584" s="97" t="n"/>
      <c r="E584" s="97" t="n"/>
      <c r="F584" s="97" t="n"/>
      <c r="G584" s="97" t="n"/>
      <c r="H584" s="97" t="n"/>
      <c r="I584" s="97" t="n"/>
      <c r="J584" s="97" t="n"/>
      <c r="K584" s="97" t="n"/>
      <c r="L584" s="97" t="n"/>
      <c r="M584" s="97" t="n"/>
      <c r="N584" s="97" t="n"/>
      <c r="O584" s="97" t="n"/>
      <c r="P584" s="97" t="n"/>
    </row>
    <row r="585" ht="15.75" customHeight="1" s="105">
      <c r="B585" s="97" t="n"/>
      <c r="D585" s="97" t="n"/>
      <c r="E585" s="97" t="n"/>
      <c r="F585" s="97" t="n"/>
      <c r="G585" s="97" t="n"/>
      <c r="H585" s="97" t="n"/>
      <c r="I585" s="97" t="n"/>
      <c r="J585" s="97" t="n"/>
      <c r="K585" s="97" t="n"/>
      <c r="L585" s="97" t="n"/>
      <c r="M585" s="97" t="n"/>
      <c r="N585" s="97" t="n"/>
      <c r="O585" s="97" t="n"/>
      <c r="P585" s="97" t="n"/>
    </row>
    <row r="586" ht="15.75" customHeight="1" s="105">
      <c r="B586" s="97" t="n"/>
      <c r="D586" s="97" t="n"/>
      <c r="E586" s="97" t="n"/>
      <c r="F586" s="97" t="n"/>
      <c r="G586" s="97" t="n"/>
      <c r="H586" s="97" t="n"/>
      <c r="I586" s="97" t="n"/>
      <c r="J586" s="97" t="n"/>
      <c r="K586" s="97" t="n"/>
      <c r="L586" s="97" t="n"/>
      <c r="M586" s="97" t="n"/>
      <c r="N586" s="97" t="n"/>
      <c r="O586" s="97" t="n"/>
      <c r="P586" s="97" t="n"/>
    </row>
    <row r="587" ht="15.75" customHeight="1" s="105">
      <c r="B587" s="97" t="n"/>
      <c r="D587" s="97" t="n"/>
      <c r="E587" s="97" t="n"/>
      <c r="F587" s="97" t="n"/>
      <c r="G587" s="97" t="n"/>
      <c r="H587" s="97" t="n"/>
      <c r="I587" s="97" t="n"/>
      <c r="J587" s="97" t="n"/>
      <c r="K587" s="97" t="n"/>
      <c r="L587" s="97" t="n"/>
      <c r="M587" s="97" t="n"/>
      <c r="N587" s="97" t="n"/>
      <c r="O587" s="97" t="n"/>
      <c r="P587" s="97" t="n"/>
    </row>
    <row r="588" ht="15.75" customHeight="1" s="105">
      <c r="B588" s="97" t="n"/>
      <c r="D588" s="97" t="n"/>
      <c r="E588" s="97" t="n"/>
      <c r="F588" s="97" t="n"/>
      <c r="G588" s="97" t="n"/>
      <c r="H588" s="97" t="n"/>
      <c r="I588" s="97" t="n"/>
      <c r="J588" s="97" t="n"/>
      <c r="K588" s="97" t="n"/>
      <c r="L588" s="97" t="n"/>
      <c r="M588" s="97" t="n"/>
      <c r="N588" s="97" t="n"/>
      <c r="O588" s="97" t="n"/>
      <c r="P588" s="97" t="n"/>
    </row>
    <row r="589" ht="15.75" customHeight="1" s="105">
      <c r="B589" s="97" t="n"/>
      <c r="D589" s="97" t="n"/>
      <c r="E589" s="97" t="n"/>
      <c r="F589" s="97" t="n"/>
      <c r="G589" s="97" t="n"/>
      <c r="H589" s="97" t="n"/>
      <c r="I589" s="97" t="n"/>
      <c r="J589" s="97" t="n"/>
      <c r="K589" s="97" t="n"/>
      <c r="L589" s="97" t="n"/>
      <c r="M589" s="97" t="n"/>
      <c r="N589" s="97" t="n"/>
      <c r="O589" s="97" t="n"/>
      <c r="P589" s="97" t="n"/>
    </row>
    <row r="590" ht="15.75" customHeight="1" s="105">
      <c r="B590" s="97" t="n"/>
      <c r="D590" s="97" t="n"/>
      <c r="E590" s="97" t="n"/>
      <c r="F590" s="97" t="n"/>
      <c r="G590" s="97" t="n"/>
      <c r="H590" s="97" t="n"/>
      <c r="I590" s="97" t="n"/>
      <c r="J590" s="97" t="n"/>
      <c r="K590" s="97" t="n"/>
      <c r="L590" s="97" t="n"/>
      <c r="M590" s="97" t="n"/>
      <c r="N590" s="97" t="n"/>
      <c r="O590" s="97" t="n"/>
      <c r="P590" s="97" t="n"/>
    </row>
    <row r="591" ht="15.75" customHeight="1" s="105">
      <c r="B591" s="97" t="n"/>
      <c r="D591" s="97" t="n"/>
      <c r="E591" s="97" t="n"/>
      <c r="F591" s="97" t="n"/>
      <c r="G591" s="97" t="n"/>
      <c r="H591" s="97" t="n"/>
      <c r="I591" s="97" t="n"/>
      <c r="J591" s="97" t="n"/>
      <c r="K591" s="97" t="n"/>
      <c r="L591" s="97" t="n"/>
      <c r="M591" s="97" t="n"/>
      <c r="N591" s="97" t="n"/>
      <c r="O591" s="97" t="n"/>
      <c r="P591" s="97" t="n"/>
    </row>
    <row r="592" ht="15.75" customHeight="1" s="105">
      <c r="B592" s="97" t="n"/>
      <c r="D592" s="97" t="n"/>
      <c r="E592" s="97" t="n"/>
      <c r="F592" s="97" t="n"/>
      <c r="G592" s="97" t="n"/>
      <c r="H592" s="97" t="n"/>
      <c r="I592" s="97" t="n"/>
      <c r="J592" s="97" t="n"/>
      <c r="K592" s="97" t="n"/>
      <c r="L592" s="97" t="n"/>
      <c r="M592" s="97" t="n"/>
      <c r="N592" s="97" t="n"/>
      <c r="O592" s="97" t="n"/>
      <c r="P592" s="97" t="n"/>
    </row>
    <row r="593" ht="15.75" customHeight="1" s="105">
      <c r="B593" s="97" t="n"/>
      <c r="D593" s="97" t="n"/>
      <c r="E593" s="97" t="n"/>
      <c r="F593" s="97" t="n"/>
      <c r="G593" s="97" t="n"/>
      <c r="H593" s="97" t="n"/>
      <c r="I593" s="97" t="n"/>
      <c r="J593" s="97" t="n"/>
      <c r="K593" s="97" t="n"/>
      <c r="L593" s="97" t="n"/>
      <c r="M593" s="97" t="n"/>
      <c r="N593" s="97" t="n"/>
      <c r="O593" s="97" t="n"/>
      <c r="P593" s="97" t="n"/>
    </row>
    <row r="594" ht="15.75" customHeight="1" s="105">
      <c r="B594" s="97" t="n"/>
      <c r="D594" s="97" t="n"/>
      <c r="E594" s="97" t="n"/>
      <c r="F594" s="97" t="n"/>
      <c r="G594" s="97" t="n"/>
      <c r="H594" s="97" t="n"/>
      <c r="I594" s="97" t="n"/>
      <c r="J594" s="97" t="n"/>
      <c r="K594" s="97" t="n"/>
      <c r="L594" s="97" t="n"/>
      <c r="M594" s="97" t="n"/>
      <c r="N594" s="97" t="n"/>
      <c r="O594" s="97" t="n"/>
      <c r="P594" s="97" t="n"/>
    </row>
    <row r="595" ht="15.75" customHeight="1" s="105">
      <c r="B595" s="97" t="n"/>
      <c r="D595" s="97" t="n"/>
      <c r="E595" s="97" t="n"/>
      <c r="F595" s="97" t="n"/>
      <c r="G595" s="97" t="n"/>
      <c r="H595" s="97" t="n"/>
      <c r="I595" s="97" t="n"/>
      <c r="J595" s="97" t="n"/>
      <c r="K595" s="97" t="n"/>
      <c r="L595" s="97" t="n"/>
      <c r="M595" s="97" t="n"/>
      <c r="N595" s="97" t="n"/>
      <c r="O595" s="97" t="n"/>
      <c r="P595" s="97" t="n"/>
    </row>
    <row r="596" ht="15.75" customHeight="1" s="105">
      <c r="B596" s="97" t="n"/>
      <c r="D596" s="97" t="n"/>
      <c r="E596" s="97" t="n"/>
      <c r="F596" s="97" t="n"/>
      <c r="G596" s="97" t="n"/>
      <c r="H596" s="97" t="n"/>
      <c r="I596" s="97" t="n"/>
      <c r="J596" s="97" t="n"/>
      <c r="K596" s="97" t="n"/>
      <c r="L596" s="97" t="n"/>
      <c r="M596" s="97" t="n"/>
      <c r="N596" s="97" t="n"/>
      <c r="O596" s="97" t="n"/>
      <c r="P596" s="97" t="n"/>
    </row>
    <row r="597" ht="15.75" customHeight="1" s="105">
      <c r="B597" s="97" t="n"/>
      <c r="D597" s="97" t="n"/>
      <c r="E597" s="97" t="n"/>
      <c r="F597" s="97" t="n"/>
      <c r="G597" s="97" t="n"/>
      <c r="H597" s="97" t="n"/>
      <c r="I597" s="97" t="n"/>
      <c r="J597" s="97" t="n"/>
      <c r="K597" s="97" t="n"/>
      <c r="L597" s="97" t="n"/>
      <c r="M597" s="97" t="n"/>
      <c r="N597" s="97" t="n"/>
      <c r="O597" s="97" t="n"/>
      <c r="P597" s="97" t="n"/>
    </row>
    <row r="598" ht="15.75" customHeight="1" s="105">
      <c r="B598" s="97" t="n"/>
      <c r="D598" s="97" t="n"/>
      <c r="E598" s="97" t="n"/>
      <c r="F598" s="97" t="n"/>
      <c r="G598" s="97" t="n"/>
      <c r="H598" s="97" t="n"/>
      <c r="I598" s="97" t="n"/>
      <c r="J598" s="97" t="n"/>
      <c r="K598" s="97" t="n"/>
      <c r="L598" s="97" t="n"/>
      <c r="M598" s="97" t="n"/>
      <c r="N598" s="97" t="n"/>
      <c r="O598" s="97" t="n"/>
      <c r="P598" s="97" t="n"/>
    </row>
    <row r="599" ht="15.75" customHeight="1" s="105">
      <c r="B599" s="97" t="n"/>
      <c r="D599" s="97" t="n"/>
      <c r="E599" s="97" t="n"/>
      <c r="F599" s="97" t="n"/>
      <c r="G599" s="97" t="n"/>
      <c r="H599" s="97" t="n"/>
      <c r="I599" s="97" t="n"/>
      <c r="J599" s="97" t="n"/>
      <c r="K599" s="97" t="n"/>
      <c r="L599" s="97" t="n"/>
      <c r="M599" s="97" t="n"/>
      <c r="N599" s="97" t="n"/>
      <c r="O599" s="97" t="n"/>
      <c r="P599" s="97" t="n"/>
    </row>
    <row r="600" ht="15.75" customHeight="1" s="105">
      <c r="B600" s="97" t="n"/>
      <c r="D600" s="97" t="n"/>
      <c r="E600" s="97" t="n"/>
      <c r="F600" s="97" t="n"/>
      <c r="G600" s="97" t="n"/>
      <c r="H600" s="97" t="n"/>
      <c r="I600" s="97" t="n"/>
      <c r="J600" s="97" t="n"/>
      <c r="K600" s="97" t="n"/>
      <c r="L600" s="97" t="n"/>
      <c r="M600" s="97" t="n"/>
      <c r="N600" s="97" t="n"/>
      <c r="O600" s="97" t="n"/>
      <c r="P600" s="97" t="n"/>
    </row>
    <row r="601" ht="15.75" customHeight="1" s="105">
      <c r="B601" s="97" t="n"/>
      <c r="D601" s="97" t="n"/>
      <c r="E601" s="97" t="n"/>
      <c r="F601" s="97" t="n"/>
      <c r="G601" s="97" t="n"/>
      <c r="H601" s="97" t="n"/>
      <c r="I601" s="97" t="n"/>
      <c r="J601" s="97" t="n"/>
      <c r="K601" s="97" t="n"/>
      <c r="L601" s="97" t="n"/>
      <c r="M601" s="97" t="n"/>
      <c r="N601" s="97" t="n"/>
      <c r="O601" s="97" t="n"/>
      <c r="P601" s="97" t="n"/>
    </row>
    <row r="602" ht="15.75" customHeight="1" s="105">
      <c r="B602" s="97" t="n"/>
      <c r="D602" s="97" t="n"/>
      <c r="E602" s="97" t="n"/>
      <c r="F602" s="97" t="n"/>
      <c r="G602" s="97" t="n"/>
      <c r="H602" s="97" t="n"/>
      <c r="I602" s="97" t="n"/>
      <c r="J602" s="97" t="n"/>
      <c r="K602" s="97" t="n"/>
      <c r="L602" s="97" t="n"/>
      <c r="M602" s="97" t="n"/>
      <c r="N602" s="97" t="n"/>
      <c r="O602" s="97" t="n"/>
      <c r="P602" s="97" t="n"/>
    </row>
    <row r="603" ht="15.75" customHeight="1" s="105">
      <c r="B603" s="97" t="n"/>
      <c r="D603" s="97" t="n"/>
      <c r="E603" s="97" t="n"/>
      <c r="F603" s="97" t="n"/>
      <c r="G603" s="97" t="n"/>
      <c r="H603" s="97" t="n"/>
      <c r="I603" s="97" t="n"/>
      <c r="J603" s="97" t="n"/>
      <c r="K603" s="97" t="n"/>
      <c r="L603" s="97" t="n"/>
      <c r="M603" s="97" t="n"/>
      <c r="N603" s="97" t="n"/>
      <c r="O603" s="97" t="n"/>
      <c r="P603" s="97" t="n"/>
    </row>
    <row r="604" ht="15.75" customHeight="1" s="105">
      <c r="B604" s="97" t="n"/>
      <c r="D604" s="97" t="n"/>
      <c r="E604" s="97" t="n"/>
      <c r="F604" s="97" t="n"/>
      <c r="G604" s="97" t="n"/>
      <c r="H604" s="97" t="n"/>
      <c r="I604" s="97" t="n"/>
      <c r="J604" s="97" t="n"/>
      <c r="K604" s="97" t="n"/>
      <c r="L604" s="97" t="n"/>
      <c r="M604" s="97" t="n"/>
      <c r="N604" s="97" t="n"/>
      <c r="O604" s="97" t="n"/>
      <c r="P604" s="97" t="n"/>
    </row>
    <row r="605" ht="15.75" customHeight="1" s="105">
      <c r="B605" s="97" t="n"/>
      <c r="D605" s="97" t="n"/>
      <c r="E605" s="97" t="n"/>
      <c r="F605" s="97" t="n"/>
      <c r="G605" s="97" t="n"/>
      <c r="H605" s="97" t="n"/>
      <c r="I605" s="97" t="n"/>
      <c r="J605" s="97" t="n"/>
      <c r="K605" s="97" t="n"/>
      <c r="L605" s="97" t="n"/>
      <c r="M605" s="97" t="n"/>
      <c r="N605" s="97" t="n"/>
      <c r="O605" s="97" t="n"/>
      <c r="P605" s="97" t="n"/>
    </row>
    <row r="606" ht="15.75" customHeight="1" s="105">
      <c r="B606" s="97" t="n"/>
      <c r="D606" s="97" t="n"/>
      <c r="E606" s="97" t="n"/>
      <c r="F606" s="97" t="n"/>
      <c r="G606" s="97" t="n"/>
      <c r="H606" s="97" t="n"/>
      <c r="I606" s="97" t="n"/>
      <c r="J606" s="97" t="n"/>
      <c r="K606" s="97" t="n"/>
      <c r="L606" s="97" t="n"/>
      <c r="M606" s="97" t="n"/>
      <c r="N606" s="97" t="n"/>
      <c r="O606" s="97" t="n"/>
      <c r="P606" s="97" t="n"/>
    </row>
    <row r="607" ht="15.75" customHeight="1" s="105">
      <c r="B607" s="97" t="n"/>
      <c r="D607" s="97" t="n"/>
      <c r="E607" s="97" t="n"/>
      <c r="F607" s="97" t="n"/>
      <c r="G607" s="97" t="n"/>
      <c r="H607" s="97" t="n"/>
      <c r="I607" s="97" t="n"/>
      <c r="J607" s="97" t="n"/>
      <c r="K607" s="97" t="n"/>
      <c r="L607" s="97" t="n"/>
      <c r="M607" s="97" t="n"/>
      <c r="N607" s="97" t="n"/>
      <c r="O607" s="97" t="n"/>
      <c r="P607" s="97" t="n"/>
    </row>
    <row r="608" ht="15.75" customHeight="1" s="105">
      <c r="B608" s="97" t="n"/>
      <c r="D608" s="97" t="n"/>
      <c r="E608" s="97" t="n"/>
      <c r="F608" s="97" t="n"/>
      <c r="G608" s="97" t="n"/>
      <c r="H608" s="97" t="n"/>
      <c r="I608" s="97" t="n"/>
      <c r="J608" s="97" t="n"/>
      <c r="K608" s="97" t="n"/>
      <c r="L608" s="97" t="n"/>
      <c r="M608" s="97" t="n"/>
      <c r="N608" s="97" t="n"/>
      <c r="O608" s="97" t="n"/>
      <c r="P608" s="97" t="n"/>
    </row>
    <row r="609" ht="15.75" customHeight="1" s="105">
      <c r="B609" s="97" t="n"/>
      <c r="D609" s="97" t="n"/>
      <c r="E609" s="97" t="n"/>
      <c r="F609" s="97" t="n"/>
      <c r="G609" s="97" t="n"/>
      <c r="H609" s="97" t="n"/>
      <c r="I609" s="97" t="n"/>
      <c r="J609" s="97" t="n"/>
      <c r="K609" s="97" t="n"/>
      <c r="L609" s="97" t="n"/>
      <c r="M609" s="97" t="n"/>
      <c r="N609" s="97" t="n"/>
      <c r="O609" s="97" t="n"/>
      <c r="P609" s="97" t="n"/>
    </row>
    <row r="610" ht="15.75" customHeight="1" s="105">
      <c r="B610" s="97" t="n"/>
      <c r="D610" s="97" t="n"/>
      <c r="E610" s="97" t="n"/>
      <c r="F610" s="97" t="n"/>
      <c r="G610" s="97" t="n"/>
      <c r="H610" s="97" t="n"/>
      <c r="I610" s="97" t="n"/>
      <c r="J610" s="97" t="n"/>
      <c r="K610" s="97" t="n"/>
      <c r="L610" s="97" t="n"/>
      <c r="M610" s="97" t="n"/>
      <c r="N610" s="97" t="n"/>
      <c r="O610" s="97" t="n"/>
      <c r="P610" s="97" t="n"/>
    </row>
    <row r="611" ht="15.75" customHeight="1" s="105">
      <c r="B611" s="97" t="n"/>
      <c r="D611" s="97" t="n"/>
      <c r="E611" s="97" t="n"/>
      <c r="F611" s="97" t="n"/>
      <c r="G611" s="97" t="n"/>
      <c r="H611" s="97" t="n"/>
      <c r="I611" s="97" t="n"/>
      <c r="J611" s="97" t="n"/>
      <c r="K611" s="97" t="n"/>
      <c r="L611" s="97" t="n"/>
      <c r="M611" s="97" t="n"/>
      <c r="N611" s="97" t="n"/>
      <c r="O611" s="97" t="n"/>
      <c r="P611" s="97" t="n"/>
    </row>
    <row r="612" ht="15.75" customHeight="1" s="105">
      <c r="B612" s="97" t="n"/>
      <c r="D612" s="97" t="n"/>
      <c r="E612" s="97" t="n"/>
      <c r="F612" s="97" t="n"/>
      <c r="G612" s="97" t="n"/>
      <c r="H612" s="97" t="n"/>
      <c r="I612" s="97" t="n"/>
      <c r="J612" s="97" t="n"/>
      <c r="K612" s="97" t="n"/>
      <c r="L612" s="97" t="n"/>
      <c r="M612" s="97" t="n"/>
      <c r="N612" s="97" t="n"/>
      <c r="O612" s="97" t="n"/>
      <c r="P612" s="97" t="n"/>
    </row>
    <row r="613" ht="15.75" customHeight="1" s="105">
      <c r="B613" s="97" t="n"/>
      <c r="D613" s="97" t="n"/>
      <c r="E613" s="97" t="n"/>
      <c r="F613" s="97" t="n"/>
      <c r="G613" s="97" t="n"/>
      <c r="H613" s="97" t="n"/>
      <c r="I613" s="97" t="n"/>
      <c r="J613" s="97" t="n"/>
      <c r="K613" s="97" t="n"/>
      <c r="L613" s="97" t="n"/>
      <c r="M613" s="97" t="n"/>
      <c r="N613" s="97" t="n"/>
      <c r="O613" s="97" t="n"/>
      <c r="P613" s="97" t="n"/>
    </row>
    <row r="614" ht="15.75" customHeight="1" s="105">
      <c r="B614" s="97" t="n"/>
      <c r="D614" s="97" t="n"/>
      <c r="E614" s="97" t="n"/>
      <c r="F614" s="97" t="n"/>
      <c r="G614" s="97" t="n"/>
      <c r="H614" s="97" t="n"/>
      <c r="I614" s="97" t="n"/>
      <c r="J614" s="97" t="n"/>
      <c r="K614" s="97" t="n"/>
      <c r="L614" s="97" t="n"/>
      <c r="M614" s="97" t="n"/>
      <c r="N614" s="97" t="n"/>
      <c r="O614" s="97" t="n"/>
      <c r="P614" s="97" t="n"/>
    </row>
    <row r="615" ht="15.75" customHeight="1" s="105">
      <c r="B615" s="97" t="n"/>
      <c r="D615" s="97" t="n"/>
      <c r="E615" s="97" t="n"/>
      <c r="F615" s="97" t="n"/>
      <c r="G615" s="97" t="n"/>
      <c r="H615" s="97" t="n"/>
      <c r="I615" s="97" t="n"/>
      <c r="J615" s="97" t="n"/>
      <c r="K615" s="97" t="n"/>
      <c r="L615" s="97" t="n"/>
      <c r="M615" s="97" t="n"/>
      <c r="N615" s="97" t="n"/>
      <c r="O615" s="97" t="n"/>
      <c r="P615" s="97" t="n"/>
    </row>
    <row r="616" ht="15.75" customHeight="1" s="105">
      <c r="B616" s="97" t="n"/>
      <c r="D616" s="97" t="n"/>
      <c r="E616" s="97" t="n"/>
      <c r="F616" s="97" t="n"/>
      <c r="G616" s="97" t="n"/>
      <c r="H616" s="97" t="n"/>
      <c r="I616" s="97" t="n"/>
      <c r="J616" s="97" t="n"/>
      <c r="K616" s="97" t="n"/>
      <c r="L616" s="97" t="n"/>
      <c r="M616" s="97" t="n"/>
      <c r="N616" s="97" t="n"/>
      <c r="O616" s="97" t="n"/>
      <c r="P616" s="97" t="n"/>
    </row>
    <row r="617" ht="15.75" customHeight="1" s="105">
      <c r="B617" s="97" t="n"/>
      <c r="D617" s="97" t="n"/>
      <c r="E617" s="97" t="n"/>
      <c r="F617" s="97" t="n"/>
      <c r="G617" s="97" t="n"/>
      <c r="H617" s="97" t="n"/>
      <c r="I617" s="97" t="n"/>
      <c r="J617" s="97" t="n"/>
      <c r="K617" s="97" t="n"/>
      <c r="L617" s="97" t="n"/>
      <c r="M617" s="97" t="n"/>
      <c r="N617" s="97" t="n"/>
      <c r="O617" s="97" t="n"/>
      <c r="P617" s="97" t="n"/>
    </row>
    <row r="618" ht="15.75" customHeight="1" s="105">
      <c r="B618" s="97" t="n"/>
      <c r="D618" s="97" t="n"/>
      <c r="E618" s="97" t="n"/>
      <c r="F618" s="97" t="n"/>
      <c r="G618" s="97" t="n"/>
      <c r="H618" s="97" t="n"/>
      <c r="I618" s="97" t="n"/>
      <c r="J618" s="97" t="n"/>
      <c r="K618" s="97" t="n"/>
      <c r="L618" s="97" t="n"/>
      <c r="M618" s="97" t="n"/>
      <c r="N618" s="97" t="n"/>
      <c r="O618" s="97" t="n"/>
      <c r="P618" s="97" t="n"/>
    </row>
    <row r="619" ht="15.75" customHeight="1" s="105">
      <c r="B619" s="97" t="n"/>
      <c r="D619" s="97" t="n"/>
      <c r="E619" s="97" t="n"/>
      <c r="F619" s="97" t="n"/>
      <c r="G619" s="97" t="n"/>
      <c r="H619" s="97" t="n"/>
      <c r="I619" s="97" t="n"/>
      <c r="J619" s="97" t="n"/>
      <c r="K619" s="97" t="n"/>
      <c r="L619" s="97" t="n"/>
      <c r="M619" s="97" t="n"/>
      <c r="N619" s="97" t="n"/>
      <c r="O619" s="97" t="n"/>
      <c r="P619" s="97" t="n"/>
    </row>
    <row r="620" ht="15.75" customHeight="1" s="105">
      <c r="B620" s="97" t="n"/>
      <c r="D620" s="97" t="n"/>
      <c r="E620" s="97" t="n"/>
      <c r="F620" s="97" t="n"/>
      <c r="G620" s="97" t="n"/>
      <c r="H620" s="97" t="n"/>
      <c r="I620" s="97" t="n"/>
      <c r="J620" s="97" t="n"/>
      <c r="K620" s="97" t="n"/>
      <c r="L620" s="97" t="n"/>
      <c r="M620" s="97" t="n"/>
      <c r="N620" s="97" t="n"/>
      <c r="O620" s="97" t="n"/>
      <c r="P620" s="97" t="n"/>
    </row>
    <row r="621" ht="15.75" customHeight="1" s="105">
      <c r="B621" s="97" t="n"/>
      <c r="D621" s="97" t="n"/>
      <c r="E621" s="97" t="n"/>
      <c r="F621" s="97" t="n"/>
      <c r="G621" s="97" t="n"/>
      <c r="H621" s="97" t="n"/>
      <c r="I621" s="97" t="n"/>
      <c r="J621" s="97" t="n"/>
      <c r="K621" s="97" t="n"/>
      <c r="L621" s="97" t="n"/>
      <c r="M621" s="97" t="n"/>
      <c r="N621" s="97" t="n"/>
      <c r="O621" s="97" t="n"/>
      <c r="P621" s="97" t="n"/>
    </row>
    <row r="622" ht="15.75" customHeight="1" s="105">
      <c r="B622" s="97" t="n"/>
      <c r="D622" s="97" t="n"/>
      <c r="E622" s="97" t="n"/>
      <c r="F622" s="97" t="n"/>
      <c r="G622" s="97" t="n"/>
      <c r="H622" s="97" t="n"/>
      <c r="I622" s="97" t="n"/>
      <c r="J622" s="97" t="n"/>
      <c r="K622" s="97" t="n"/>
      <c r="L622" s="97" t="n"/>
      <c r="M622" s="97" t="n"/>
      <c r="N622" s="97" t="n"/>
      <c r="O622" s="97" t="n"/>
      <c r="P622" s="97" t="n"/>
    </row>
    <row r="623" ht="15.75" customHeight="1" s="105">
      <c r="B623" s="97" t="n"/>
      <c r="D623" s="97" t="n"/>
      <c r="E623" s="97" t="n"/>
      <c r="F623" s="97" t="n"/>
      <c r="G623" s="97" t="n"/>
      <c r="H623" s="97" t="n"/>
      <c r="I623" s="97" t="n"/>
      <c r="J623" s="97" t="n"/>
      <c r="K623" s="97" t="n"/>
      <c r="L623" s="97" t="n"/>
      <c r="M623" s="97" t="n"/>
      <c r="N623" s="97" t="n"/>
      <c r="O623" s="97" t="n"/>
      <c r="P623" s="97" t="n"/>
    </row>
    <row r="624" ht="15.75" customHeight="1" s="105">
      <c r="B624" s="97" t="n"/>
      <c r="D624" s="97" t="n"/>
      <c r="E624" s="97" t="n"/>
      <c r="F624" s="97" t="n"/>
      <c r="G624" s="97" t="n"/>
      <c r="H624" s="97" t="n"/>
      <c r="I624" s="97" t="n"/>
      <c r="J624" s="97" t="n"/>
      <c r="K624" s="97" t="n"/>
      <c r="L624" s="97" t="n"/>
      <c r="M624" s="97" t="n"/>
      <c r="N624" s="97" t="n"/>
      <c r="O624" s="97" t="n"/>
      <c r="P624" s="97" t="n"/>
    </row>
    <row r="625" ht="15.75" customHeight="1" s="105">
      <c r="B625" s="97" t="n"/>
      <c r="D625" s="97" t="n"/>
      <c r="E625" s="97" t="n"/>
      <c r="F625" s="97" t="n"/>
      <c r="G625" s="97" t="n"/>
      <c r="H625" s="97" t="n"/>
      <c r="I625" s="97" t="n"/>
      <c r="J625" s="97" t="n"/>
      <c r="K625" s="97" t="n"/>
      <c r="L625" s="97" t="n"/>
      <c r="M625" s="97" t="n"/>
      <c r="N625" s="97" t="n"/>
      <c r="O625" s="97" t="n"/>
      <c r="P625" s="97" t="n"/>
    </row>
    <row r="626" ht="15.75" customHeight="1" s="105">
      <c r="B626" s="97" t="n"/>
      <c r="D626" s="97" t="n"/>
      <c r="E626" s="97" t="n"/>
      <c r="F626" s="97" t="n"/>
      <c r="G626" s="97" t="n"/>
      <c r="H626" s="97" t="n"/>
      <c r="I626" s="97" t="n"/>
      <c r="J626" s="97" t="n"/>
      <c r="K626" s="97" t="n"/>
      <c r="L626" s="97" t="n"/>
      <c r="M626" s="97" t="n"/>
      <c r="N626" s="97" t="n"/>
      <c r="O626" s="97" t="n"/>
      <c r="P626" s="97" t="n"/>
    </row>
    <row r="627" ht="15.75" customHeight="1" s="105">
      <c r="B627" s="97" t="n"/>
      <c r="D627" s="97" t="n"/>
      <c r="E627" s="97" t="n"/>
      <c r="F627" s="97" t="n"/>
      <c r="G627" s="97" t="n"/>
      <c r="H627" s="97" t="n"/>
      <c r="I627" s="97" t="n"/>
      <c r="J627" s="97" t="n"/>
      <c r="K627" s="97" t="n"/>
      <c r="L627" s="97" t="n"/>
      <c r="M627" s="97" t="n"/>
      <c r="N627" s="97" t="n"/>
      <c r="O627" s="97" t="n"/>
      <c r="P627" s="97" t="n"/>
    </row>
    <row r="628" ht="15.75" customHeight="1" s="105">
      <c r="B628" s="97" t="n"/>
      <c r="D628" s="97" t="n"/>
      <c r="E628" s="97" t="n"/>
      <c r="F628" s="97" t="n"/>
      <c r="G628" s="97" t="n"/>
      <c r="H628" s="97" t="n"/>
      <c r="I628" s="97" t="n"/>
      <c r="J628" s="97" t="n"/>
      <c r="K628" s="97" t="n"/>
      <c r="L628" s="97" t="n"/>
      <c r="M628" s="97" t="n"/>
      <c r="N628" s="97" t="n"/>
      <c r="O628" s="97" t="n"/>
      <c r="P628" s="97" t="n"/>
    </row>
    <row r="629" ht="15.75" customHeight="1" s="105">
      <c r="B629" s="97" t="n"/>
      <c r="D629" s="97" t="n"/>
      <c r="E629" s="97" t="n"/>
      <c r="F629" s="97" t="n"/>
      <c r="G629" s="97" t="n"/>
      <c r="H629" s="97" t="n"/>
      <c r="I629" s="97" t="n"/>
      <c r="J629" s="97" t="n"/>
      <c r="K629" s="97" t="n"/>
      <c r="L629" s="97" t="n"/>
      <c r="M629" s="97" t="n"/>
      <c r="N629" s="97" t="n"/>
      <c r="O629" s="97" t="n"/>
      <c r="P629" s="97" t="n"/>
    </row>
    <row r="630" ht="15.75" customHeight="1" s="105">
      <c r="B630" s="97" t="n"/>
      <c r="D630" s="97" t="n"/>
      <c r="E630" s="97" t="n"/>
      <c r="F630" s="97" t="n"/>
      <c r="G630" s="97" t="n"/>
      <c r="H630" s="97" t="n"/>
      <c r="I630" s="97" t="n"/>
      <c r="J630" s="97" t="n"/>
      <c r="K630" s="97" t="n"/>
      <c r="L630" s="97" t="n"/>
      <c r="M630" s="97" t="n"/>
      <c r="N630" s="97" t="n"/>
      <c r="O630" s="97" t="n"/>
      <c r="P630" s="97" t="n"/>
    </row>
    <row r="631" ht="15.75" customHeight="1" s="105">
      <c r="B631" s="97" t="n"/>
      <c r="D631" s="97" t="n"/>
      <c r="E631" s="97" t="n"/>
      <c r="F631" s="97" t="n"/>
      <c r="G631" s="97" t="n"/>
      <c r="H631" s="97" t="n"/>
      <c r="I631" s="97" t="n"/>
      <c r="J631" s="97" t="n"/>
      <c r="K631" s="97" t="n"/>
      <c r="L631" s="97" t="n"/>
      <c r="M631" s="97" t="n"/>
      <c r="N631" s="97" t="n"/>
      <c r="O631" s="97" t="n"/>
      <c r="P631" s="97" t="n"/>
    </row>
    <row r="632" ht="15.75" customHeight="1" s="105">
      <c r="B632" s="97" t="n"/>
      <c r="D632" s="97" t="n"/>
      <c r="E632" s="97" t="n"/>
      <c r="F632" s="97" t="n"/>
      <c r="G632" s="97" t="n"/>
      <c r="H632" s="97" t="n"/>
      <c r="I632" s="97" t="n"/>
      <c r="J632" s="97" t="n"/>
      <c r="K632" s="97" t="n"/>
      <c r="L632" s="97" t="n"/>
      <c r="M632" s="97" t="n"/>
      <c r="N632" s="97" t="n"/>
      <c r="O632" s="97" t="n"/>
      <c r="P632" s="97" t="n"/>
    </row>
    <row r="633" ht="15.75" customHeight="1" s="105">
      <c r="B633" s="97" t="n"/>
      <c r="D633" s="97" t="n"/>
      <c r="E633" s="97" t="n"/>
      <c r="F633" s="97" t="n"/>
      <c r="G633" s="97" t="n"/>
      <c r="H633" s="97" t="n"/>
      <c r="I633" s="97" t="n"/>
      <c r="J633" s="97" t="n"/>
      <c r="K633" s="97" t="n"/>
      <c r="L633" s="97" t="n"/>
      <c r="M633" s="97" t="n"/>
      <c r="N633" s="97" t="n"/>
      <c r="O633" s="97" t="n"/>
      <c r="P633" s="97" t="n"/>
    </row>
    <row r="634" ht="15.75" customHeight="1" s="105">
      <c r="B634" s="97" t="n"/>
      <c r="D634" s="97" t="n"/>
      <c r="E634" s="97" t="n"/>
      <c r="F634" s="97" t="n"/>
      <c r="G634" s="97" t="n"/>
      <c r="H634" s="97" t="n"/>
      <c r="I634" s="97" t="n"/>
      <c r="J634" s="97" t="n"/>
      <c r="K634" s="97" t="n"/>
      <c r="L634" s="97" t="n"/>
      <c r="M634" s="97" t="n"/>
      <c r="N634" s="97" t="n"/>
      <c r="O634" s="97" t="n"/>
      <c r="P634" s="97" t="n"/>
    </row>
    <row r="635" ht="15.75" customHeight="1" s="105">
      <c r="B635" s="97" t="n"/>
      <c r="D635" s="97" t="n"/>
      <c r="E635" s="97" t="n"/>
      <c r="F635" s="97" t="n"/>
      <c r="G635" s="97" t="n"/>
      <c r="H635" s="97" t="n"/>
      <c r="I635" s="97" t="n"/>
      <c r="J635" s="97" t="n"/>
      <c r="K635" s="97" t="n"/>
      <c r="L635" s="97" t="n"/>
      <c r="M635" s="97" t="n"/>
      <c r="N635" s="97" t="n"/>
      <c r="O635" s="97" t="n"/>
      <c r="P635" s="97" t="n"/>
    </row>
    <row r="636" ht="15.75" customHeight="1" s="105">
      <c r="B636" s="97" t="n"/>
      <c r="D636" s="97" t="n"/>
      <c r="E636" s="97" t="n"/>
      <c r="F636" s="97" t="n"/>
      <c r="G636" s="97" t="n"/>
      <c r="H636" s="97" t="n"/>
      <c r="I636" s="97" t="n"/>
      <c r="J636" s="97" t="n"/>
      <c r="K636" s="97" t="n"/>
      <c r="L636" s="97" t="n"/>
      <c r="M636" s="97" t="n"/>
      <c r="N636" s="97" t="n"/>
      <c r="O636" s="97" t="n"/>
      <c r="P636" s="97" t="n"/>
    </row>
    <row r="637" ht="15.75" customHeight="1" s="105">
      <c r="B637" s="97" t="n"/>
      <c r="D637" s="97" t="n"/>
      <c r="E637" s="97" t="n"/>
      <c r="F637" s="97" t="n"/>
      <c r="G637" s="97" t="n"/>
      <c r="H637" s="97" t="n"/>
      <c r="I637" s="97" t="n"/>
      <c r="J637" s="97" t="n"/>
      <c r="K637" s="97" t="n"/>
      <c r="L637" s="97" t="n"/>
      <c r="M637" s="97" t="n"/>
      <c r="N637" s="97" t="n"/>
      <c r="O637" s="97" t="n"/>
      <c r="P637" s="97" t="n"/>
    </row>
    <row r="638" ht="15.75" customHeight="1" s="105">
      <c r="B638" s="97" t="n"/>
      <c r="D638" s="97" t="n"/>
      <c r="E638" s="97" t="n"/>
      <c r="F638" s="97" t="n"/>
      <c r="G638" s="97" t="n"/>
      <c r="H638" s="97" t="n"/>
      <c r="I638" s="97" t="n"/>
      <c r="J638" s="97" t="n"/>
      <c r="K638" s="97" t="n"/>
      <c r="L638" s="97" t="n"/>
      <c r="M638" s="97" t="n"/>
      <c r="N638" s="97" t="n"/>
      <c r="O638" s="97" t="n"/>
      <c r="P638" s="97" t="n"/>
    </row>
    <row r="639" ht="15.75" customHeight="1" s="105">
      <c r="B639" s="97" t="n"/>
      <c r="D639" s="97" t="n"/>
      <c r="E639" s="97" t="n"/>
      <c r="F639" s="97" t="n"/>
      <c r="G639" s="97" t="n"/>
      <c r="H639" s="97" t="n"/>
      <c r="I639" s="97" t="n"/>
      <c r="J639" s="97" t="n"/>
      <c r="K639" s="97" t="n"/>
      <c r="L639" s="97" t="n"/>
      <c r="M639" s="97" t="n"/>
      <c r="N639" s="97" t="n"/>
      <c r="O639" s="97" t="n"/>
      <c r="P639" s="97" t="n"/>
    </row>
    <row r="640" ht="15.75" customHeight="1" s="105">
      <c r="B640" s="97" t="n"/>
      <c r="D640" s="97" t="n"/>
      <c r="E640" s="97" t="n"/>
      <c r="F640" s="97" t="n"/>
      <c r="G640" s="97" t="n"/>
      <c r="H640" s="97" t="n"/>
      <c r="I640" s="97" t="n"/>
      <c r="J640" s="97" t="n"/>
      <c r="K640" s="97" t="n"/>
      <c r="L640" s="97" t="n"/>
      <c r="M640" s="97" t="n"/>
      <c r="N640" s="97" t="n"/>
      <c r="O640" s="97" t="n"/>
      <c r="P640" s="97" t="n"/>
    </row>
    <row r="641" ht="15.75" customHeight="1" s="105">
      <c r="B641" s="97" t="n"/>
      <c r="D641" s="97" t="n"/>
      <c r="E641" s="97" t="n"/>
      <c r="F641" s="97" t="n"/>
      <c r="G641" s="97" t="n"/>
      <c r="H641" s="97" t="n"/>
      <c r="I641" s="97" t="n"/>
      <c r="J641" s="97" t="n"/>
      <c r="K641" s="97" t="n"/>
      <c r="L641" s="97" t="n"/>
      <c r="M641" s="97" t="n"/>
      <c r="N641" s="97" t="n"/>
      <c r="O641" s="97" t="n"/>
      <c r="P641" s="97" t="n"/>
    </row>
    <row r="642" ht="15.75" customHeight="1" s="105">
      <c r="B642" s="97" t="n"/>
      <c r="D642" s="97" t="n"/>
      <c r="E642" s="97" t="n"/>
      <c r="F642" s="97" t="n"/>
      <c r="G642" s="97" t="n"/>
      <c r="H642" s="97" t="n"/>
      <c r="I642" s="97" t="n"/>
      <c r="J642" s="97" t="n"/>
      <c r="K642" s="97" t="n"/>
      <c r="L642" s="97" t="n"/>
      <c r="M642" s="97" t="n"/>
      <c r="N642" s="97" t="n"/>
      <c r="O642" s="97" t="n"/>
      <c r="P642" s="97" t="n"/>
    </row>
    <row r="643" ht="15.75" customHeight="1" s="105">
      <c r="B643" s="97" t="n"/>
      <c r="D643" s="97" t="n"/>
      <c r="E643" s="97" t="n"/>
      <c r="F643" s="97" t="n"/>
      <c r="G643" s="97" t="n"/>
      <c r="H643" s="97" t="n"/>
      <c r="I643" s="97" t="n"/>
      <c r="J643" s="97" t="n"/>
      <c r="K643" s="97" t="n"/>
      <c r="L643" s="97" t="n"/>
      <c r="M643" s="97" t="n"/>
      <c r="N643" s="97" t="n"/>
      <c r="O643" s="97" t="n"/>
      <c r="P643" s="97" t="n"/>
    </row>
    <row r="644" ht="15.75" customHeight="1" s="105">
      <c r="B644" s="97" t="n"/>
      <c r="D644" s="97" t="n"/>
      <c r="E644" s="97" t="n"/>
      <c r="F644" s="97" t="n"/>
      <c r="G644" s="97" t="n"/>
      <c r="H644" s="97" t="n"/>
      <c r="I644" s="97" t="n"/>
      <c r="J644" s="97" t="n"/>
      <c r="K644" s="97" t="n"/>
      <c r="L644" s="97" t="n"/>
      <c r="M644" s="97" t="n"/>
      <c r="N644" s="97" t="n"/>
      <c r="O644" s="97" t="n"/>
      <c r="P644" s="97" t="n"/>
    </row>
    <row r="645" ht="15.75" customHeight="1" s="105">
      <c r="B645" s="97" t="n"/>
      <c r="D645" s="97" t="n"/>
      <c r="E645" s="97" t="n"/>
      <c r="F645" s="97" t="n"/>
      <c r="G645" s="97" t="n"/>
      <c r="H645" s="97" t="n"/>
      <c r="I645" s="97" t="n"/>
      <c r="J645" s="97" t="n"/>
      <c r="K645" s="97" t="n"/>
      <c r="L645" s="97" t="n"/>
      <c r="M645" s="97" t="n"/>
      <c r="N645" s="97" t="n"/>
      <c r="O645" s="97" t="n"/>
      <c r="P645" s="97" t="n"/>
    </row>
    <row r="646" ht="15.75" customHeight="1" s="105">
      <c r="B646" s="97" t="n"/>
      <c r="D646" s="97" t="n"/>
      <c r="E646" s="97" t="n"/>
      <c r="F646" s="97" t="n"/>
      <c r="G646" s="97" t="n"/>
      <c r="H646" s="97" t="n"/>
      <c r="I646" s="97" t="n"/>
      <c r="J646" s="97" t="n"/>
      <c r="K646" s="97" t="n"/>
      <c r="L646" s="97" t="n"/>
      <c r="M646" s="97" t="n"/>
      <c r="N646" s="97" t="n"/>
      <c r="O646" s="97" t="n"/>
      <c r="P646" s="97" t="n"/>
    </row>
    <row r="647" ht="15.75" customHeight="1" s="105">
      <c r="B647" s="97" t="n"/>
      <c r="D647" s="97" t="n"/>
      <c r="E647" s="97" t="n"/>
      <c r="F647" s="97" t="n"/>
      <c r="G647" s="97" t="n"/>
      <c r="H647" s="97" t="n"/>
      <c r="I647" s="97" t="n"/>
      <c r="J647" s="97" t="n"/>
      <c r="K647" s="97" t="n"/>
      <c r="L647" s="97" t="n"/>
      <c r="M647" s="97" t="n"/>
      <c r="N647" s="97" t="n"/>
      <c r="O647" s="97" t="n"/>
      <c r="P647" s="97" t="n"/>
    </row>
    <row r="648" ht="15.75" customHeight="1" s="105">
      <c r="B648" s="97" t="n"/>
      <c r="D648" s="97" t="n"/>
      <c r="E648" s="97" t="n"/>
      <c r="F648" s="97" t="n"/>
      <c r="G648" s="97" t="n"/>
      <c r="H648" s="97" t="n"/>
      <c r="I648" s="97" t="n"/>
      <c r="J648" s="97" t="n"/>
      <c r="K648" s="97" t="n"/>
      <c r="L648" s="97" t="n"/>
      <c r="M648" s="97" t="n"/>
      <c r="N648" s="97" t="n"/>
      <c r="O648" s="97" t="n"/>
      <c r="P648" s="97" t="n"/>
    </row>
    <row r="649" ht="15.75" customHeight="1" s="105">
      <c r="B649" s="97" t="n"/>
      <c r="D649" s="97" t="n"/>
      <c r="E649" s="97" t="n"/>
      <c r="F649" s="97" t="n"/>
      <c r="G649" s="97" t="n"/>
      <c r="H649" s="97" t="n"/>
      <c r="I649" s="97" t="n"/>
      <c r="J649" s="97" t="n"/>
      <c r="K649" s="97" t="n"/>
      <c r="L649" s="97" t="n"/>
      <c r="M649" s="97" t="n"/>
      <c r="N649" s="97" t="n"/>
      <c r="O649" s="97" t="n"/>
      <c r="P649" s="97" t="n"/>
    </row>
    <row r="650" ht="15.75" customHeight="1" s="105">
      <c r="B650" s="97" t="n"/>
      <c r="D650" s="97" t="n"/>
      <c r="E650" s="97" t="n"/>
      <c r="F650" s="97" t="n"/>
      <c r="G650" s="97" t="n"/>
      <c r="H650" s="97" t="n"/>
      <c r="I650" s="97" t="n"/>
      <c r="J650" s="97" t="n"/>
      <c r="K650" s="97" t="n"/>
      <c r="L650" s="97" t="n"/>
      <c r="M650" s="97" t="n"/>
      <c r="N650" s="97" t="n"/>
      <c r="O650" s="97" t="n"/>
      <c r="P650" s="97" t="n"/>
    </row>
    <row r="651" ht="15.75" customHeight="1" s="105">
      <c r="B651" s="97" t="n"/>
      <c r="D651" s="97" t="n"/>
      <c r="E651" s="97" t="n"/>
      <c r="F651" s="97" t="n"/>
      <c r="G651" s="97" t="n"/>
      <c r="H651" s="97" t="n"/>
      <c r="I651" s="97" t="n"/>
      <c r="J651" s="97" t="n"/>
      <c r="K651" s="97" t="n"/>
      <c r="L651" s="97" t="n"/>
      <c r="M651" s="97" t="n"/>
      <c r="N651" s="97" t="n"/>
      <c r="O651" s="97" t="n"/>
      <c r="P651" s="97" t="n"/>
    </row>
    <row r="652" ht="15.75" customHeight="1" s="105">
      <c r="B652" s="97" t="n"/>
      <c r="D652" s="97" t="n"/>
      <c r="E652" s="97" t="n"/>
      <c r="F652" s="97" t="n"/>
      <c r="G652" s="97" t="n"/>
      <c r="H652" s="97" t="n"/>
      <c r="I652" s="97" t="n"/>
      <c r="J652" s="97" t="n"/>
      <c r="K652" s="97" t="n"/>
      <c r="L652" s="97" t="n"/>
      <c r="M652" s="97" t="n"/>
      <c r="N652" s="97" t="n"/>
      <c r="O652" s="97" t="n"/>
      <c r="P652" s="97" t="n"/>
    </row>
    <row r="653" ht="15.75" customHeight="1" s="105">
      <c r="B653" s="97" t="n"/>
      <c r="D653" s="97" t="n"/>
      <c r="E653" s="97" t="n"/>
      <c r="F653" s="97" t="n"/>
      <c r="G653" s="97" t="n"/>
      <c r="H653" s="97" t="n"/>
      <c r="I653" s="97" t="n"/>
      <c r="J653" s="97" t="n"/>
      <c r="K653" s="97" t="n"/>
      <c r="L653" s="97" t="n"/>
      <c r="M653" s="97" t="n"/>
      <c r="N653" s="97" t="n"/>
      <c r="O653" s="97" t="n"/>
      <c r="P653" s="97" t="n"/>
    </row>
    <row r="654" ht="15.75" customHeight="1" s="105">
      <c r="B654" s="97" t="n"/>
      <c r="D654" s="97" t="n"/>
      <c r="E654" s="97" t="n"/>
      <c r="F654" s="97" t="n"/>
      <c r="G654" s="97" t="n"/>
      <c r="H654" s="97" t="n"/>
      <c r="I654" s="97" t="n"/>
      <c r="J654" s="97" t="n"/>
      <c r="K654" s="97" t="n"/>
      <c r="L654" s="97" t="n"/>
      <c r="M654" s="97" t="n"/>
      <c r="N654" s="97" t="n"/>
      <c r="O654" s="97" t="n"/>
      <c r="P654" s="97" t="n"/>
    </row>
    <row r="655" ht="15.75" customHeight="1" s="105">
      <c r="B655" s="97" t="n"/>
      <c r="D655" s="97" t="n"/>
      <c r="E655" s="97" t="n"/>
      <c r="F655" s="97" t="n"/>
      <c r="G655" s="97" t="n"/>
      <c r="H655" s="97" t="n"/>
      <c r="I655" s="97" t="n"/>
      <c r="J655" s="97" t="n"/>
      <c r="K655" s="97" t="n"/>
      <c r="L655" s="97" t="n"/>
      <c r="M655" s="97" t="n"/>
      <c r="N655" s="97" t="n"/>
      <c r="O655" s="97" t="n"/>
      <c r="P655" s="97" t="n"/>
    </row>
    <row r="656" ht="15.75" customHeight="1" s="105">
      <c r="B656" s="97" t="n"/>
      <c r="D656" s="97" t="n"/>
      <c r="E656" s="97" t="n"/>
      <c r="F656" s="97" t="n"/>
      <c r="G656" s="97" t="n"/>
      <c r="H656" s="97" t="n"/>
      <c r="I656" s="97" t="n"/>
      <c r="J656" s="97" t="n"/>
      <c r="K656" s="97" t="n"/>
      <c r="L656" s="97" t="n"/>
      <c r="M656" s="97" t="n"/>
      <c r="N656" s="97" t="n"/>
      <c r="O656" s="97" t="n"/>
      <c r="P656" s="97" t="n"/>
    </row>
    <row r="657" ht="15.75" customHeight="1" s="105">
      <c r="B657" s="97" t="n"/>
      <c r="D657" s="97" t="n"/>
      <c r="E657" s="97" t="n"/>
      <c r="F657" s="97" t="n"/>
      <c r="G657" s="97" t="n"/>
      <c r="H657" s="97" t="n"/>
      <c r="I657" s="97" t="n"/>
      <c r="J657" s="97" t="n"/>
      <c r="K657" s="97" t="n"/>
      <c r="L657" s="97" t="n"/>
      <c r="M657" s="97" t="n"/>
      <c r="N657" s="97" t="n"/>
      <c r="O657" s="97" t="n"/>
      <c r="P657" s="97" t="n"/>
    </row>
    <row r="658" ht="15.75" customHeight="1" s="105">
      <c r="B658" s="97" t="n"/>
      <c r="D658" s="97" t="n"/>
      <c r="E658" s="97" t="n"/>
      <c r="F658" s="97" t="n"/>
      <c r="G658" s="97" t="n"/>
      <c r="H658" s="97" t="n"/>
      <c r="I658" s="97" t="n"/>
      <c r="J658" s="97" t="n"/>
      <c r="K658" s="97" t="n"/>
      <c r="L658" s="97" t="n"/>
      <c r="M658" s="97" t="n"/>
      <c r="N658" s="97" t="n"/>
      <c r="O658" s="97" t="n"/>
      <c r="P658" s="97" t="n"/>
    </row>
    <row r="659" ht="15.75" customHeight="1" s="105">
      <c r="B659" s="97" t="n"/>
      <c r="D659" s="97" t="n"/>
      <c r="E659" s="97" t="n"/>
      <c r="F659" s="97" t="n"/>
      <c r="G659" s="97" t="n"/>
      <c r="H659" s="97" t="n"/>
      <c r="I659" s="97" t="n"/>
      <c r="J659" s="97" t="n"/>
      <c r="K659" s="97" t="n"/>
      <c r="L659" s="97" t="n"/>
      <c r="M659" s="97" t="n"/>
      <c r="N659" s="97" t="n"/>
      <c r="O659" s="97" t="n"/>
      <c r="P659" s="97" t="n"/>
    </row>
    <row r="660" ht="15.75" customHeight="1" s="105">
      <c r="B660" s="97" t="n"/>
      <c r="D660" s="97" t="n"/>
      <c r="E660" s="97" t="n"/>
      <c r="F660" s="97" t="n"/>
      <c r="G660" s="97" t="n"/>
      <c r="H660" s="97" t="n"/>
      <c r="I660" s="97" t="n"/>
      <c r="J660" s="97" t="n"/>
      <c r="K660" s="97" t="n"/>
      <c r="L660" s="97" t="n"/>
      <c r="M660" s="97" t="n"/>
      <c r="N660" s="97" t="n"/>
      <c r="O660" s="97" t="n"/>
      <c r="P660" s="97" t="n"/>
    </row>
    <row r="661" ht="15.75" customHeight="1" s="105">
      <c r="B661" s="97" t="n"/>
      <c r="D661" s="97" t="n"/>
      <c r="E661" s="97" t="n"/>
      <c r="F661" s="97" t="n"/>
      <c r="G661" s="97" t="n"/>
      <c r="H661" s="97" t="n"/>
      <c r="I661" s="97" t="n"/>
      <c r="J661" s="97" t="n"/>
      <c r="K661" s="97" t="n"/>
      <c r="L661" s="97" t="n"/>
      <c r="M661" s="97" t="n"/>
      <c r="N661" s="97" t="n"/>
      <c r="O661" s="97" t="n"/>
      <c r="P661" s="97" t="n"/>
    </row>
    <row r="662" ht="15.75" customHeight="1" s="105">
      <c r="B662" s="97" t="n"/>
      <c r="D662" s="97" t="n"/>
      <c r="E662" s="97" t="n"/>
      <c r="F662" s="97" t="n"/>
      <c r="G662" s="97" t="n"/>
      <c r="H662" s="97" t="n"/>
      <c r="I662" s="97" t="n"/>
      <c r="J662" s="97" t="n"/>
      <c r="K662" s="97" t="n"/>
      <c r="L662" s="97" t="n"/>
      <c r="M662" s="97" t="n"/>
      <c r="N662" s="97" t="n"/>
      <c r="O662" s="97" t="n"/>
      <c r="P662" s="97" t="n"/>
    </row>
    <row r="663" ht="15.75" customHeight="1" s="105">
      <c r="B663" s="97" t="n"/>
      <c r="D663" s="97" t="n"/>
      <c r="E663" s="97" t="n"/>
      <c r="F663" s="97" t="n"/>
      <c r="G663" s="97" t="n"/>
      <c r="H663" s="97" t="n"/>
      <c r="I663" s="97" t="n"/>
      <c r="J663" s="97" t="n"/>
      <c r="K663" s="97" t="n"/>
      <c r="L663" s="97" t="n"/>
      <c r="M663" s="97" t="n"/>
      <c r="N663" s="97" t="n"/>
      <c r="O663" s="97" t="n"/>
      <c r="P663" s="97" t="n"/>
    </row>
    <row r="664" ht="15.75" customHeight="1" s="105">
      <c r="B664" s="97" t="n"/>
      <c r="D664" s="97" t="n"/>
      <c r="E664" s="97" t="n"/>
      <c r="F664" s="97" t="n"/>
      <c r="G664" s="97" t="n"/>
      <c r="H664" s="97" t="n"/>
      <c r="I664" s="97" t="n"/>
      <c r="J664" s="97" t="n"/>
      <c r="K664" s="97" t="n"/>
      <c r="L664" s="97" t="n"/>
      <c r="M664" s="97" t="n"/>
      <c r="N664" s="97" t="n"/>
      <c r="O664" s="97" t="n"/>
      <c r="P664" s="97" t="n"/>
    </row>
    <row r="665" ht="15.75" customHeight="1" s="105">
      <c r="B665" s="97" t="n"/>
      <c r="D665" s="97" t="n"/>
      <c r="E665" s="97" t="n"/>
      <c r="F665" s="97" t="n"/>
      <c r="G665" s="97" t="n"/>
      <c r="H665" s="97" t="n"/>
      <c r="I665" s="97" t="n"/>
      <c r="J665" s="97" t="n"/>
      <c r="K665" s="97" t="n"/>
      <c r="L665" s="97" t="n"/>
      <c r="M665" s="97" t="n"/>
      <c r="N665" s="97" t="n"/>
      <c r="O665" s="97" t="n"/>
      <c r="P665" s="97" t="n"/>
    </row>
    <row r="666" ht="15.75" customHeight="1" s="105">
      <c r="B666" s="97" t="n"/>
      <c r="D666" s="97" t="n"/>
      <c r="E666" s="97" t="n"/>
      <c r="F666" s="97" t="n"/>
      <c r="G666" s="97" t="n"/>
      <c r="H666" s="97" t="n"/>
      <c r="I666" s="97" t="n"/>
      <c r="J666" s="97" t="n"/>
      <c r="K666" s="97" t="n"/>
      <c r="L666" s="97" t="n"/>
      <c r="M666" s="97" t="n"/>
      <c r="N666" s="97" t="n"/>
      <c r="O666" s="97" t="n"/>
      <c r="P666" s="97" t="n"/>
    </row>
    <row r="667" ht="15.75" customHeight="1" s="105">
      <c r="B667" s="97" t="n"/>
      <c r="D667" s="97" t="n"/>
      <c r="E667" s="97" t="n"/>
      <c r="F667" s="97" t="n"/>
      <c r="G667" s="97" t="n"/>
      <c r="H667" s="97" t="n"/>
      <c r="I667" s="97" t="n"/>
      <c r="J667" s="97" t="n"/>
      <c r="K667" s="97" t="n"/>
      <c r="L667" s="97" t="n"/>
      <c r="M667" s="97" t="n"/>
      <c r="N667" s="97" t="n"/>
      <c r="O667" s="97" t="n"/>
      <c r="P667" s="97" t="n"/>
    </row>
    <row r="668" ht="15.75" customHeight="1" s="105">
      <c r="B668" s="97" t="n"/>
      <c r="D668" s="97" t="n"/>
      <c r="E668" s="97" t="n"/>
      <c r="F668" s="97" t="n"/>
      <c r="G668" s="97" t="n"/>
      <c r="H668" s="97" t="n"/>
      <c r="I668" s="97" t="n"/>
      <c r="J668" s="97" t="n"/>
      <c r="K668" s="97" t="n"/>
      <c r="L668" s="97" t="n"/>
      <c r="M668" s="97" t="n"/>
      <c r="N668" s="97" t="n"/>
      <c r="O668" s="97" t="n"/>
      <c r="P668" s="97" t="n"/>
    </row>
    <row r="669" ht="15.75" customHeight="1" s="105">
      <c r="B669" s="97" t="n"/>
      <c r="D669" s="97" t="n"/>
      <c r="E669" s="97" t="n"/>
      <c r="F669" s="97" t="n"/>
      <c r="G669" s="97" t="n"/>
      <c r="H669" s="97" t="n"/>
      <c r="I669" s="97" t="n"/>
      <c r="J669" s="97" t="n"/>
      <c r="K669" s="97" t="n"/>
      <c r="L669" s="97" t="n"/>
      <c r="M669" s="97" t="n"/>
      <c r="N669" s="97" t="n"/>
      <c r="O669" s="97" t="n"/>
      <c r="P669" s="97" t="n"/>
    </row>
    <row r="670" ht="15.75" customHeight="1" s="105">
      <c r="B670" s="97" t="n"/>
      <c r="D670" s="97" t="n"/>
      <c r="E670" s="97" t="n"/>
      <c r="F670" s="97" t="n"/>
      <c r="G670" s="97" t="n"/>
      <c r="H670" s="97" t="n"/>
      <c r="I670" s="97" t="n"/>
      <c r="J670" s="97" t="n"/>
      <c r="K670" s="97" t="n"/>
      <c r="L670" s="97" t="n"/>
      <c r="M670" s="97" t="n"/>
      <c r="N670" s="97" t="n"/>
      <c r="O670" s="97" t="n"/>
      <c r="P670" s="97" t="n"/>
    </row>
    <row r="671" ht="15.75" customHeight="1" s="105">
      <c r="B671" s="97" t="n"/>
      <c r="D671" s="97" t="n"/>
      <c r="E671" s="97" t="n"/>
      <c r="F671" s="97" t="n"/>
      <c r="G671" s="97" t="n"/>
      <c r="H671" s="97" t="n"/>
      <c r="I671" s="97" t="n"/>
      <c r="J671" s="97" t="n"/>
      <c r="K671" s="97" t="n"/>
      <c r="L671" s="97" t="n"/>
      <c r="M671" s="97" t="n"/>
      <c r="N671" s="97" t="n"/>
      <c r="O671" s="97" t="n"/>
      <c r="P671" s="97" t="n"/>
    </row>
    <row r="672" ht="15.75" customHeight="1" s="105">
      <c r="B672" s="97" t="n"/>
      <c r="D672" s="97" t="n"/>
      <c r="E672" s="97" t="n"/>
      <c r="F672" s="97" t="n"/>
      <c r="G672" s="97" t="n"/>
      <c r="H672" s="97" t="n"/>
      <c r="I672" s="97" t="n"/>
      <c r="J672" s="97" t="n"/>
      <c r="K672" s="97" t="n"/>
      <c r="L672" s="97" t="n"/>
      <c r="M672" s="97" t="n"/>
      <c r="N672" s="97" t="n"/>
      <c r="O672" s="97" t="n"/>
      <c r="P672" s="97" t="n"/>
    </row>
    <row r="673" ht="15.75" customHeight="1" s="105">
      <c r="B673" s="97" t="n"/>
      <c r="D673" s="97" t="n"/>
      <c r="E673" s="97" t="n"/>
      <c r="F673" s="97" t="n"/>
      <c r="G673" s="97" t="n"/>
      <c r="H673" s="97" t="n"/>
      <c r="I673" s="97" t="n"/>
      <c r="J673" s="97" t="n"/>
      <c r="K673" s="97" t="n"/>
      <c r="L673" s="97" t="n"/>
      <c r="M673" s="97" t="n"/>
      <c r="N673" s="97" t="n"/>
      <c r="O673" s="97" t="n"/>
      <c r="P673" s="97" t="n"/>
    </row>
    <row r="674" ht="15.75" customHeight="1" s="105">
      <c r="B674" s="97" t="n"/>
      <c r="D674" s="97" t="n"/>
      <c r="E674" s="97" t="n"/>
      <c r="F674" s="97" t="n"/>
      <c r="G674" s="97" t="n"/>
      <c r="H674" s="97" t="n"/>
      <c r="I674" s="97" t="n"/>
      <c r="J674" s="97" t="n"/>
      <c r="K674" s="97" t="n"/>
      <c r="L674" s="97" t="n"/>
      <c r="M674" s="97" t="n"/>
      <c r="N674" s="97" t="n"/>
      <c r="O674" s="97" t="n"/>
      <c r="P674" s="97" t="n"/>
    </row>
    <row r="675" ht="15.75" customHeight="1" s="105">
      <c r="B675" s="97" t="n"/>
      <c r="D675" s="97" t="n"/>
      <c r="E675" s="97" t="n"/>
      <c r="F675" s="97" t="n"/>
      <c r="G675" s="97" t="n"/>
      <c r="H675" s="97" t="n"/>
      <c r="I675" s="97" t="n"/>
      <c r="J675" s="97" t="n"/>
      <c r="K675" s="97" t="n"/>
      <c r="L675" s="97" t="n"/>
      <c r="M675" s="97" t="n"/>
      <c r="N675" s="97" t="n"/>
      <c r="O675" s="97" t="n"/>
      <c r="P675" s="97" t="n"/>
    </row>
    <row r="676" ht="15.75" customHeight="1" s="105">
      <c r="B676" s="97" t="n"/>
      <c r="D676" s="97" t="n"/>
      <c r="E676" s="97" t="n"/>
      <c r="F676" s="97" t="n"/>
      <c r="G676" s="97" t="n"/>
      <c r="H676" s="97" t="n"/>
      <c r="I676" s="97" t="n"/>
      <c r="J676" s="97" t="n"/>
      <c r="K676" s="97" t="n"/>
      <c r="L676" s="97" t="n"/>
      <c r="M676" s="97" t="n"/>
      <c r="N676" s="97" t="n"/>
      <c r="O676" s="97" t="n"/>
      <c r="P676" s="97" t="n"/>
    </row>
    <row r="677" ht="15.75" customHeight="1" s="105">
      <c r="B677" s="97" t="n"/>
      <c r="D677" s="97" t="n"/>
      <c r="E677" s="97" t="n"/>
      <c r="F677" s="97" t="n"/>
      <c r="G677" s="97" t="n"/>
      <c r="H677" s="97" t="n"/>
      <c r="I677" s="97" t="n"/>
      <c r="J677" s="97" t="n"/>
      <c r="K677" s="97" t="n"/>
      <c r="L677" s="97" t="n"/>
      <c r="M677" s="97" t="n"/>
      <c r="N677" s="97" t="n"/>
      <c r="O677" s="97" t="n"/>
      <c r="P677" s="97" t="n"/>
    </row>
    <row r="678" ht="15.75" customHeight="1" s="105">
      <c r="B678" s="97" t="n"/>
      <c r="D678" s="97" t="n"/>
      <c r="E678" s="97" t="n"/>
      <c r="F678" s="97" t="n"/>
      <c r="G678" s="97" t="n"/>
      <c r="H678" s="97" t="n"/>
      <c r="I678" s="97" t="n"/>
      <c r="J678" s="97" t="n"/>
      <c r="K678" s="97" t="n"/>
      <c r="L678" s="97" t="n"/>
      <c r="M678" s="97" t="n"/>
      <c r="N678" s="97" t="n"/>
      <c r="O678" s="97" t="n"/>
      <c r="P678" s="97" t="n"/>
    </row>
    <row r="679" ht="15.75" customHeight="1" s="105">
      <c r="B679" s="97" t="n"/>
      <c r="D679" s="97" t="n"/>
      <c r="E679" s="97" t="n"/>
      <c r="F679" s="97" t="n"/>
      <c r="G679" s="97" t="n"/>
      <c r="H679" s="97" t="n"/>
      <c r="I679" s="97" t="n"/>
      <c r="J679" s="97" t="n"/>
      <c r="K679" s="97" t="n"/>
      <c r="L679" s="97" t="n"/>
      <c r="M679" s="97" t="n"/>
      <c r="N679" s="97" t="n"/>
      <c r="O679" s="97" t="n"/>
      <c r="P679" s="97" t="n"/>
    </row>
    <row r="680" ht="15.75" customHeight="1" s="105">
      <c r="B680" s="97" t="n"/>
      <c r="D680" s="97" t="n"/>
      <c r="E680" s="97" t="n"/>
      <c r="F680" s="97" t="n"/>
      <c r="G680" s="97" t="n"/>
      <c r="H680" s="97" t="n"/>
      <c r="I680" s="97" t="n"/>
      <c r="J680" s="97" t="n"/>
      <c r="K680" s="97" t="n"/>
      <c r="L680" s="97" t="n"/>
      <c r="M680" s="97" t="n"/>
      <c r="N680" s="97" t="n"/>
      <c r="O680" s="97" t="n"/>
      <c r="P680" s="97" t="n"/>
    </row>
    <row r="681" ht="15.75" customHeight="1" s="105">
      <c r="B681" s="97" t="n"/>
      <c r="D681" s="97" t="n"/>
      <c r="E681" s="97" t="n"/>
      <c r="F681" s="97" t="n"/>
      <c r="G681" s="97" t="n"/>
      <c r="H681" s="97" t="n"/>
      <c r="I681" s="97" t="n"/>
      <c r="J681" s="97" t="n"/>
      <c r="K681" s="97" t="n"/>
      <c r="L681" s="97" t="n"/>
      <c r="M681" s="97" t="n"/>
      <c r="N681" s="97" t="n"/>
      <c r="O681" s="97" t="n"/>
      <c r="P681" s="97" t="n"/>
    </row>
    <row r="682" ht="15.75" customHeight="1" s="105">
      <c r="B682" s="97" t="n"/>
      <c r="D682" s="97" t="n"/>
      <c r="E682" s="97" t="n"/>
      <c r="F682" s="97" t="n"/>
      <c r="G682" s="97" t="n"/>
      <c r="H682" s="97" t="n"/>
      <c r="I682" s="97" t="n"/>
      <c r="J682" s="97" t="n"/>
      <c r="K682" s="97" t="n"/>
      <c r="L682" s="97" t="n"/>
      <c r="M682" s="97" t="n"/>
      <c r="N682" s="97" t="n"/>
      <c r="O682" s="97" t="n"/>
      <c r="P682" s="97" t="n"/>
    </row>
    <row r="683" ht="15.75" customHeight="1" s="105">
      <c r="B683" s="97" t="n"/>
      <c r="D683" s="97" t="n"/>
      <c r="E683" s="97" t="n"/>
      <c r="F683" s="97" t="n"/>
      <c r="G683" s="97" t="n"/>
      <c r="H683" s="97" t="n"/>
      <c r="I683" s="97" t="n"/>
      <c r="J683" s="97" t="n"/>
      <c r="K683" s="97" t="n"/>
      <c r="L683" s="97" t="n"/>
      <c r="M683" s="97" t="n"/>
      <c r="N683" s="97" t="n"/>
      <c r="O683" s="97" t="n"/>
      <c r="P683" s="97" t="n"/>
    </row>
    <row r="684" ht="15.75" customHeight="1" s="105">
      <c r="B684" s="97" t="n"/>
      <c r="D684" s="97" t="n"/>
      <c r="E684" s="97" t="n"/>
      <c r="F684" s="97" t="n"/>
      <c r="G684" s="97" t="n"/>
      <c r="H684" s="97" t="n"/>
      <c r="I684" s="97" t="n"/>
      <c r="J684" s="97" t="n"/>
      <c r="K684" s="97" t="n"/>
      <c r="L684" s="97" t="n"/>
      <c r="M684" s="97" t="n"/>
      <c r="N684" s="97" t="n"/>
      <c r="O684" s="97" t="n"/>
      <c r="P684" s="97" t="n"/>
    </row>
    <row r="685" ht="15.75" customHeight="1" s="105">
      <c r="B685" s="97" t="n"/>
      <c r="D685" s="97" t="n"/>
      <c r="E685" s="97" t="n"/>
      <c r="F685" s="97" t="n"/>
      <c r="G685" s="97" t="n"/>
      <c r="H685" s="97" t="n"/>
      <c r="I685" s="97" t="n"/>
      <c r="J685" s="97" t="n"/>
      <c r="K685" s="97" t="n"/>
      <c r="L685" s="97" t="n"/>
      <c r="M685" s="97" t="n"/>
      <c r="N685" s="97" t="n"/>
      <c r="O685" s="97" t="n"/>
      <c r="P685" s="97" t="n"/>
    </row>
    <row r="686" ht="15.75" customHeight="1" s="105">
      <c r="B686" s="97" t="n"/>
      <c r="D686" s="97" t="n"/>
      <c r="E686" s="97" t="n"/>
      <c r="F686" s="97" t="n"/>
      <c r="G686" s="97" t="n"/>
      <c r="H686" s="97" t="n"/>
      <c r="I686" s="97" t="n"/>
      <c r="J686" s="97" t="n"/>
      <c r="K686" s="97" t="n"/>
      <c r="L686" s="97" t="n"/>
      <c r="M686" s="97" t="n"/>
      <c r="N686" s="97" t="n"/>
      <c r="O686" s="97" t="n"/>
      <c r="P686" s="97" t="n"/>
    </row>
    <row r="687" ht="15.75" customHeight="1" s="105">
      <c r="B687" s="97" t="n"/>
      <c r="D687" s="97" t="n"/>
      <c r="E687" s="97" t="n"/>
      <c r="F687" s="97" t="n"/>
      <c r="G687" s="97" t="n"/>
      <c r="H687" s="97" t="n"/>
      <c r="I687" s="97" t="n"/>
      <c r="J687" s="97" t="n"/>
      <c r="K687" s="97" t="n"/>
      <c r="L687" s="97" t="n"/>
      <c r="M687" s="97" t="n"/>
      <c r="N687" s="97" t="n"/>
      <c r="O687" s="97" t="n"/>
      <c r="P687" s="97" t="n"/>
    </row>
    <row r="688" ht="15.75" customHeight="1" s="105">
      <c r="B688" s="97" t="n"/>
      <c r="D688" s="97" t="n"/>
      <c r="E688" s="97" t="n"/>
      <c r="F688" s="97" t="n"/>
      <c r="G688" s="97" t="n"/>
      <c r="H688" s="97" t="n"/>
      <c r="I688" s="97" t="n"/>
      <c r="J688" s="97" t="n"/>
      <c r="K688" s="97" t="n"/>
      <c r="L688" s="97" t="n"/>
      <c r="M688" s="97" t="n"/>
      <c r="N688" s="97" t="n"/>
      <c r="O688" s="97" t="n"/>
      <c r="P688" s="97" t="n"/>
    </row>
    <row r="689" ht="15.75" customHeight="1" s="105">
      <c r="B689" s="97" t="n"/>
      <c r="D689" s="97" t="n"/>
      <c r="E689" s="97" t="n"/>
      <c r="F689" s="97" t="n"/>
      <c r="G689" s="97" t="n"/>
      <c r="H689" s="97" t="n"/>
      <c r="I689" s="97" t="n"/>
      <c r="J689" s="97" t="n"/>
      <c r="K689" s="97" t="n"/>
      <c r="L689" s="97" t="n"/>
      <c r="M689" s="97" t="n"/>
      <c r="N689" s="97" t="n"/>
      <c r="O689" s="97" t="n"/>
      <c r="P689" s="97" t="n"/>
    </row>
    <row r="690" ht="15.75" customHeight="1" s="105">
      <c r="B690" s="97" t="n"/>
      <c r="D690" s="97" t="n"/>
      <c r="E690" s="97" t="n"/>
      <c r="F690" s="97" t="n"/>
      <c r="G690" s="97" t="n"/>
      <c r="H690" s="97" t="n"/>
      <c r="I690" s="97" t="n"/>
      <c r="J690" s="97" t="n"/>
      <c r="K690" s="97" t="n"/>
      <c r="L690" s="97" t="n"/>
      <c r="M690" s="97" t="n"/>
      <c r="N690" s="97" t="n"/>
      <c r="O690" s="97" t="n"/>
      <c r="P690" s="97" t="n"/>
    </row>
    <row r="691" ht="15.75" customHeight="1" s="105">
      <c r="B691" s="97" t="n"/>
      <c r="D691" s="97" t="n"/>
      <c r="E691" s="97" t="n"/>
      <c r="F691" s="97" t="n"/>
      <c r="G691" s="97" t="n"/>
      <c r="H691" s="97" t="n"/>
      <c r="I691" s="97" t="n"/>
      <c r="J691" s="97" t="n"/>
      <c r="K691" s="97" t="n"/>
      <c r="L691" s="97" t="n"/>
      <c r="M691" s="97" t="n"/>
      <c r="N691" s="97" t="n"/>
      <c r="O691" s="97" t="n"/>
      <c r="P691" s="97" t="n"/>
    </row>
    <row r="692" ht="15.75" customHeight="1" s="105">
      <c r="B692" s="97" t="n"/>
      <c r="D692" s="97" t="n"/>
      <c r="E692" s="97" t="n"/>
      <c r="F692" s="97" t="n"/>
      <c r="G692" s="97" t="n"/>
      <c r="H692" s="97" t="n"/>
      <c r="I692" s="97" t="n"/>
      <c r="J692" s="97" t="n"/>
      <c r="K692" s="97" t="n"/>
      <c r="L692" s="97" t="n"/>
      <c r="M692" s="97" t="n"/>
      <c r="N692" s="97" t="n"/>
      <c r="O692" s="97" t="n"/>
      <c r="P692" s="97" t="n"/>
    </row>
    <row r="693" ht="15.75" customHeight="1" s="105">
      <c r="B693" s="97" t="n"/>
      <c r="D693" s="97" t="n"/>
      <c r="E693" s="97" t="n"/>
      <c r="F693" s="97" t="n"/>
      <c r="G693" s="97" t="n"/>
      <c r="H693" s="97" t="n"/>
      <c r="I693" s="97" t="n"/>
      <c r="J693" s="97" t="n"/>
      <c r="K693" s="97" t="n"/>
      <c r="L693" s="97" t="n"/>
      <c r="M693" s="97" t="n"/>
      <c r="N693" s="97" t="n"/>
      <c r="O693" s="97" t="n"/>
      <c r="P693" s="97" t="n"/>
    </row>
    <row r="694" ht="15.75" customHeight="1" s="105">
      <c r="B694" s="97" t="n"/>
      <c r="D694" s="97" t="n"/>
      <c r="E694" s="97" t="n"/>
      <c r="F694" s="97" t="n"/>
      <c r="G694" s="97" t="n"/>
      <c r="H694" s="97" t="n"/>
      <c r="I694" s="97" t="n"/>
      <c r="J694" s="97" t="n"/>
      <c r="K694" s="97" t="n"/>
      <c r="L694" s="97" t="n"/>
      <c r="M694" s="97" t="n"/>
      <c r="N694" s="97" t="n"/>
      <c r="O694" s="97" t="n"/>
      <c r="P694" s="97" t="n"/>
    </row>
    <row r="695" ht="15.75" customHeight="1" s="105">
      <c r="B695" s="97" t="n"/>
      <c r="D695" s="97" t="n"/>
      <c r="E695" s="97" t="n"/>
      <c r="F695" s="97" t="n"/>
      <c r="G695" s="97" t="n"/>
      <c r="H695" s="97" t="n"/>
      <c r="I695" s="97" t="n"/>
      <c r="J695" s="97" t="n"/>
      <c r="K695" s="97" t="n"/>
      <c r="L695" s="97" t="n"/>
      <c r="M695" s="97" t="n"/>
      <c r="N695" s="97" t="n"/>
      <c r="O695" s="97" t="n"/>
      <c r="P695" s="97" t="n"/>
    </row>
    <row r="696" ht="15.75" customHeight="1" s="105">
      <c r="B696" s="97" t="n"/>
      <c r="D696" s="97" t="n"/>
      <c r="E696" s="97" t="n"/>
      <c r="F696" s="97" t="n"/>
      <c r="G696" s="97" t="n"/>
      <c r="H696" s="97" t="n"/>
      <c r="I696" s="97" t="n"/>
      <c r="J696" s="97" t="n"/>
      <c r="K696" s="97" t="n"/>
      <c r="L696" s="97" t="n"/>
      <c r="M696" s="97" t="n"/>
      <c r="N696" s="97" t="n"/>
      <c r="O696" s="97" t="n"/>
      <c r="P696" s="97" t="n"/>
    </row>
    <row r="697" ht="15.75" customHeight="1" s="105">
      <c r="B697" s="97" t="n"/>
      <c r="D697" s="97" t="n"/>
      <c r="E697" s="97" t="n"/>
      <c r="F697" s="97" t="n"/>
      <c r="G697" s="97" t="n"/>
      <c r="H697" s="97" t="n"/>
      <c r="I697" s="97" t="n"/>
      <c r="J697" s="97" t="n"/>
      <c r="K697" s="97" t="n"/>
      <c r="L697" s="97" t="n"/>
      <c r="M697" s="97" t="n"/>
      <c r="N697" s="97" t="n"/>
      <c r="O697" s="97" t="n"/>
      <c r="P697" s="97" t="n"/>
    </row>
    <row r="698" ht="15.75" customHeight="1" s="105">
      <c r="B698" s="97" t="n"/>
      <c r="D698" s="97" t="n"/>
      <c r="E698" s="97" t="n"/>
      <c r="F698" s="97" t="n"/>
      <c r="G698" s="97" t="n"/>
      <c r="H698" s="97" t="n"/>
      <c r="I698" s="97" t="n"/>
      <c r="J698" s="97" t="n"/>
      <c r="K698" s="97" t="n"/>
      <c r="L698" s="97" t="n"/>
      <c r="M698" s="97" t="n"/>
      <c r="N698" s="97" t="n"/>
      <c r="O698" s="97" t="n"/>
      <c r="P698" s="97" t="n"/>
    </row>
    <row r="699" ht="15.75" customHeight="1" s="105">
      <c r="B699" s="97" t="n"/>
      <c r="D699" s="97" t="n"/>
      <c r="E699" s="97" t="n"/>
      <c r="F699" s="97" t="n"/>
      <c r="G699" s="97" t="n"/>
      <c r="H699" s="97" t="n"/>
      <c r="I699" s="97" t="n"/>
      <c r="J699" s="97" t="n"/>
      <c r="K699" s="97" t="n"/>
      <c r="L699" s="97" t="n"/>
      <c r="M699" s="97" t="n"/>
      <c r="N699" s="97" t="n"/>
      <c r="O699" s="97" t="n"/>
      <c r="P699" s="97" t="n"/>
    </row>
    <row r="700" ht="15.75" customHeight="1" s="105">
      <c r="B700" s="97" t="n"/>
      <c r="D700" s="97" t="n"/>
      <c r="E700" s="97" t="n"/>
      <c r="F700" s="97" t="n"/>
      <c r="G700" s="97" t="n"/>
      <c r="H700" s="97" t="n"/>
      <c r="I700" s="97" t="n"/>
      <c r="J700" s="97" t="n"/>
      <c r="K700" s="97" t="n"/>
      <c r="L700" s="97" t="n"/>
      <c r="M700" s="97" t="n"/>
      <c r="N700" s="97" t="n"/>
      <c r="O700" s="97" t="n"/>
      <c r="P700" s="97" t="n"/>
    </row>
    <row r="701" ht="15.75" customHeight="1" s="105">
      <c r="B701" s="97" t="n"/>
      <c r="D701" s="97" t="n"/>
      <c r="E701" s="97" t="n"/>
      <c r="F701" s="97" t="n"/>
      <c r="G701" s="97" t="n"/>
      <c r="H701" s="97" t="n"/>
      <c r="I701" s="97" t="n"/>
      <c r="J701" s="97" t="n"/>
      <c r="K701" s="97" t="n"/>
      <c r="L701" s="97" t="n"/>
      <c r="M701" s="97" t="n"/>
      <c r="N701" s="97" t="n"/>
      <c r="O701" s="97" t="n"/>
      <c r="P701" s="97" t="n"/>
    </row>
    <row r="702" ht="15.75" customHeight="1" s="105">
      <c r="B702" s="97" t="n"/>
      <c r="D702" s="97" t="n"/>
      <c r="E702" s="97" t="n"/>
      <c r="F702" s="97" t="n"/>
      <c r="G702" s="97" t="n"/>
      <c r="H702" s="97" t="n"/>
      <c r="I702" s="97" t="n"/>
      <c r="J702" s="97" t="n"/>
      <c r="K702" s="97" t="n"/>
      <c r="L702" s="97" t="n"/>
      <c r="M702" s="97" t="n"/>
      <c r="N702" s="97" t="n"/>
      <c r="O702" s="97" t="n"/>
      <c r="P702" s="97" t="n"/>
    </row>
    <row r="703" ht="15.75" customHeight="1" s="105">
      <c r="B703" s="97" t="n"/>
      <c r="D703" s="97" t="n"/>
      <c r="E703" s="97" t="n"/>
      <c r="F703" s="97" t="n"/>
      <c r="G703" s="97" t="n"/>
      <c r="H703" s="97" t="n"/>
      <c r="I703" s="97" t="n"/>
      <c r="J703" s="97" t="n"/>
      <c r="K703" s="97" t="n"/>
      <c r="L703" s="97" t="n"/>
      <c r="M703" s="97" t="n"/>
      <c r="N703" s="97" t="n"/>
      <c r="O703" s="97" t="n"/>
      <c r="P703" s="97" t="n"/>
    </row>
    <row r="704" ht="15.75" customHeight="1" s="105">
      <c r="B704" s="97" t="n"/>
      <c r="D704" s="97" t="n"/>
      <c r="E704" s="97" t="n"/>
      <c r="F704" s="97" t="n"/>
      <c r="G704" s="97" t="n"/>
      <c r="H704" s="97" t="n"/>
      <c r="I704" s="97" t="n"/>
      <c r="J704" s="97" t="n"/>
      <c r="K704" s="97" t="n"/>
      <c r="L704" s="97" t="n"/>
      <c r="M704" s="97" t="n"/>
      <c r="N704" s="97" t="n"/>
      <c r="O704" s="97" t="n"/>
      <c r="P704" s="97" t="n"/>
    </row>
    <row r="705" ht="15.75" customHeight="1" s="105">
      <c r="B705" s="97" t="n"/>
      <c r="D705" s="97" t="n"/>
      <c r="E705" s="97" t="n"/>
      <c r="F705" s="97" t="n"/>
      <c r="G705" s="97" t="n"/>
      <c r="H705" s="97" t="n"/>
      <c r="I705" s="97" t="n"/>
      <c r="J705" s="97" t="n"/>
      <c r="K705" s="97" t="n"/>
      <c r="L705" s="97" t="n"/>
      <c r="M705" s="97" t="n"/>
      <c r="N705" s="97" t="n"/>
      <c r="O705" s="97" t="n"/>
      <c r="P705" s="97" t="n"/>
    </row>
    <row r="706" ht="15.75" customHeight="1" s="105">
      <c r="B706" s="97" t="n"/>
      <c r="D706" s="97" t="n"/>
      <c r="E706" s="97" t="n"/>
      <c r="F706" s="97" t="n"/>
      <c r="G706" s="97" t="n"/>
      <c r="H706" s="97" t="n"/>
      <c r="I706" s="97" t="n"/>
      <c r="J706" s="97" t="n"/>
      <c r="K706" s="97" t="n"/>
      <c r="L706" s="97" t="n"/>
      <c r="M706" s="97" t="n"/>
      <c r="N706" s="97" t="n"/>
      <c r="O706" s="97" t="n"/>
      <c r="P706" s="97" t="n"/>
    </row>
    <row r="707" ht="15.75" customHeight="1" s="105">
      <c r="B707" s="97" t="n"/>
      <c r="D707" s="97" t="n"/>
      <c r="E707" s="97" t="n"/>
      <c r="F707" s="97" t="n"/>
      <c r="G707" s="97" t="n"/>
      <c r="H707" s="97" t="n"/>
      <c r="I707" s="97" t="n"/>
      <c r="J707" s="97" t="n"/>
      <c r="K707" s="97" t="n"/>
      <c r="L707" s="97" t="n"/>
      <c r="M707" s="97" t="n"/>
      <c r="N707" s="97" t="n"/>
      <c r="O707" s="97" t="n"/>
      <c r="P707" s="97" t="n"/>
    </row>
    <row r="708" ht="15.75" customHeight="1" s="105">
      <c r="B708" s="97" t="n"/>
      <c r="D708" s="97" t="n"/>
      <c r="E708" s="97" t="n"/>
      <c r="F708" s="97" t="n"/>
      <c r="G708" s="97" t="n"/>
      <c r="H708" s="97" t="n"/>
      <c r="I708" s="97" t="n"/>
      <c r="J708" s="97" t="n"/>
      <c r="K708" s="97" t="n"/>
      <c r="L708" s="97" t="n"/>
      <c r="M708" s="97" t="n"/>
      <c r="N708" s="97" t="n"/>
      <c r="O708" s="97" t="n"/>
      <c r="P708" s="97" t="n"/>
    </row>
    <row r="709" ht="15.75" customHeight="1" s="105">
      <c r="B709" s="97" t="n"/>
      <c r="D709" s="97" t="n"/>
      <c r="E709" s="97" t="n"/>
      <c r="F709" s="97" t="n"/>
      <c r="G709" s="97" t="n"/>
      <c r="H709" s="97" t="n"/>
      <c r="I709" s="97" t="n"/>
      <c r="J709" s="97" t="n"/>
      <c r="K709" s="97" t="n"/>
      <c r="L709" s="97" t="n"/>
      <c r="M709" s="97" t="n"/>
      <c r="N709" s="97" t="n"/>
      <c r="O709" s="97" t="n"/>
      <c r="P709" s="97" t="n"/>
    </row>
    <row r="710" ht="15.75" customHeight="1" s="105">
      <c r="B710" s="97" t="n"/>
      <c r="D710" s="97" t="n"/>
      <c r="E710" s="97" t="n"/>
      <c r="F710" s="97" t="n"/>
      <c r="G710" s="97" t="n"/>
      <c r="H710" s="97" t="n"/>
      <c r="I710" s="97" t="n"/>
      <c r="J710" s="97" t="n"/>
      <c r="K710" s="97" t="n"/>
      <c r="L710" s="97" t="n"/>
      <c r="M710" s="97" t="n"/>
      <c r="N710" s="97" t="n"/>
      <c r="O710" s="97" t="n"/>
      <c r="P710" s="97" t="n"/>
    </row>
    <row r="711" ht="15.75" customHeight="1" s="105">
      <c r="B711" s="97" t="n"/>
      <c r="D711" s="97" t="n"/>
      <c r="E711" s="97" t="n"/>
      <c r="F711" s="97" t="n"/>
      <c r="G711" s="97" t="n"/>
      <c r="H711" s="97" t="n"/>
      <c r="I711" s="97" t="n"/>
      <c r="J711" s="97" t="n"/>
      <c r="K711" s="97" t="n"/>
      <c r="L711" s="97" t="n"/>
      <c r="M711" s="97" t="n"/>
      <c r="N711" s="97" t="n"/>
      <c r="O711" s="97" t="n"/>
      <c r="P711" s="97" t="n"/>
    </row>
    <row r="712" ht="15.75" customHeight="1" s="105">
      <c r="B712" s="97" t="n"/>
      <c r="D712" s="97" t="n"/>
      <c r="E712" s="97" t="n"/>
      <c r="F712" s="97" t="n"/>
      <c r="G712" s="97" t="n"/>
      <c r="H712" s="97" t="n"/>
      <c r="I712" s="97" t="n"/>
      <c r="J712" s="97" t="n"/>
      <c r="K712" s="97" t="n"/>
      <c r="L712" s="97" t="n"/>
      <c r="M712" s="97" t="n"/>
      <c r="N712" s="97" t="n"/>
      <c r="O712" s="97" t="n"/>
      <c r="P712" s="97" t="n"/>
    </row>
    <row r="713" ht="15.75" customHeight="1" s="105">
      <c r="B713" s="97" t="n"/>
      <c r="D713" s="97" t="n"/>
      <c r="E713" s="97" t="n"/>
      <c r="F713" s="97" t="n"/>
      <c r="G713" s="97" t="n"/>
      <c r="H713" s="97" t="n"/>
      <c r="I713" s="97" t="n"/>
      <c r="J713" s="97" t="n"/>
      <c r="K713" s="97" t="n"/>
      <c r="L713" s="97" t="n"/>
      <c r="M713" s="97" t="n"/>
      <c r="N713" s="97" t="n"/>
      <c r="O713" s="97" t="n"/>
      <c r="P713" s="97" t="n"/>
    </row>
    <row r="714" ht="15.75" customHeight="1" s="105">
      <c r="B714" s="97" t="n"/>
      <c r="D714" s="97" t="n"/>
      <c r="E714" s="97" t="n"/>
      <c r="F714" s="97" t="n"/>
      <c r="G714" s="97" t="n"/>
      <c r="H714" s="97" t="n"/>
      <c r="I714" s="97" t="n"/>
      <c r="J714" s="97" t="n"/>
      <c r="K714" s="97" t="n"/>
      <c r="L714" s="97" t="n"/>
      <c r="M714" s="97" t="n"/>
      <c r="N714" s="97" t="n"/>
      <c r="O714" s="97" t="n"/>
      <c r="P714" s="97" t="n"/>
    </row>
    <row r="715" ht="15.75" customHeight="1" s="105">
      <c r="B715" s="97" t="n"/>
      <c r="D715" s="97" t="n"/>
      <c r="E715" s="97" t="n"/>
      <c r="F715" s="97" t="n"/>
      <c r="G715" s="97" t="n"/>
      <c r="H715" s="97" t="n"/>
      <c r="I715" s="97" t="n"/>
      <c r="J715" s="97" t="n"/>
      <c r="K715" s="97" t="n"/>
      <c r="L715" s="97" t="n"/>
      <c r="M715" s="97" t="n"/>
      <c r="N715" s="97" t="n"/>
      <c r="O715" s="97" t="n"/>
      <c r="P715" s="97" t="n"/>
    </row>
    <row r="716" ht="15.75" customHeight="1" s="105">
      <c r="B716" s="97" t="n"/>
      <c r="D716" s="97" t="n"/>
      <c r="E716" s="97" t="n"/>
      <c r="F716" s="97" t="n"/>
      <c r="G716" s="97" t="n"/>
      <c r="H716" s="97" t="n"/>
      <c r="I716" s="97" t="n"/>
      <c r="J716" s="97" t="n"/>
      <c r="K716" s="97" t="n"/>
      <c r="L716" s="97" t="n"/>
      <c r="M716" s="97" t="n"/>
      <c r="N716" s="97" t="n"/>
      <c r="O716" s="97" t="n"/>
      <c r="P716" s="97" t="n"/>
    </row>
    <row r="717" ht="15.75" customHeight="1" s="105">
      <c r="B717" s="97" t="n"/>
      <c r="D717" s="97" t="n"/>
      <c r="E717" s="97" t="n"/>
      <c r="F717" s="97" t="n"/>
      <c r="G717" s="97" t="n"/>
      <c r="H717" s="97" t="n"/>
      <c r="I717" s="97" t="n"/>
      <c r="J717" s="97" t="n"/>
      <c r="K717" s="97" t="n"/>
      <c r="L717" s="97" t="n"/>
      <c r="M717" s="97" t="n"/>
      <c r="N717" s="97" t="n"/>
      <c r="O717" s="97" t="n"/>
      <c r="P717" s="97" t="n"/>
    </row>
    <row r="718" ht="15.75" customHeight="1" s="105">
      <c r="B718" s="97" t="n"/>
      <c r="D718" s="97" t="n"/>
      <c r="E718" s="97" t="n"/>
      <c r="F718" s="97" t="n"/>
      <c r="G718" s="97" t="n"/>
      <c r="H718" s="97" t="n"/>
      <c r="I718" s="97" t="n"/>
      <c r="J718" s="97" t="n"/>
      <c r="K718" s="97" t="n"/>
      <c r="L718" s="97" t="n"/>
      <c r="M718" s="97" t="n"/>
      <c r="N718" s="97" t="n"/>
      <c r="O718" s="97" t="n"/>
      <c r="P718" s="97" t="n"/>
    </row>
    <row r="719" ht="15.75" customHeight="1" s="105">
      <c r="B719" s="97" t="n"/>
      <c r="D719" s="97" t="n"/>
      <c r="E719" s="97" t="n"/>
      <c r="F719" s="97" t="n"/>
      <c r="G719" s="97" t="n"/>
      <c r="H719" s="97" t="n"/>
      <c r="I719" s="97" t="n"/>
      <c r="J719" s="97" t="n"/>
      <c r="K719" s="97" t="n"/>
      <c r="L719" s="97" t="n"/>
      <c r="M719" s="97" t="n"/>
      <c r="N719" s="97" t="n"/>
      <c r="O719" s="97" t="n"/>
      <c r="P719" s="97" t="n"/>
    </row>
    <row r="720" ht="15.75" customHeight="1" s="105">
      <c r="B720" s="97" t="n"/>
      <c r="D720" s="97" t="n"/>
      <c r="E720" s="97" t="n"/>
      <c r="F720" s="97" t="n"/>
      <c r="G720" s="97" t="n"/>
      <c r="H720" s="97" t="n"/>
      <c r="I720" s="97" t="n"/>
      <c r="J720" s="97" t="n"/>
      <c r="K720" s="97" t="n"/>
      <c r="L720" s="97" t="n"/>
      <c r="M720" s="97" t="n"/>
      <c r="N720" s="97" t="n"/>
      <c r="O720" s="97" t="n"/>
      <c r="P720" s="97" t="n"/>
    </row>
    <row r="721" ht="15.75" customHeight="1" s="105">
      <c r="B721" s="97" t="n"/>
      <c r="D721" s="97" t="n"/>
      <c r="E721" s="97" t="n"/>
      <c r="F721" s="97" t="n"/>
      <c r="G721" s="97" t="n"/>
      <c r="H721" s="97" t="n"/>
      <c r="I721" s="97" t="n"/>
      <c r="J721" s="97" t="n"/>
      <c r="K721" s="97" t="n"/>
      <c r="L721" s="97" t="n"/>
      <c r="M721" s="97" t="n"/>
      <c r="N721" s="97" t="n"/>
      <c r="O721" s="97" t="n"/>
      <c r="P721" s="97" t="n"/>
    </row>
    <row r="722" ht="15.75" customHeight="1" s="105">
      <c r="B722" s="97" t="n"/>
      <c r="D722" s="97" t="n"/>
      <c r="E722" s="97" t="n"/>
      <c r="F722" s="97" t="n"/>
      <c r="G722" s="97" t="n"/>
      <c r="H722" s="97" t="n"/>
      <c r="I722" s="97" t="n"/>
      <c r="J722" s="97" t="n"/>
      <c r="K722" s="97" t="n"/>
      <c r="L722" s="97" t="n"/>
      <c r="M722" s="97" t="n"/>
      <c r="N722" s="97" t="n"/>
      <c r="O722" s="97" t="n"/>
      <c r="P722" s="97" t="n"/>
    </row>
    <row r="723" ht="15.75" customHeight="1" s="105">
      <c r="B723" s="97" t="n"/>
      <c r="D723" s="97" t="n"/>
      <c r="E723" s="97" t="n"/>
      <c r="F723" s="97" t="n"/>
      <c r="G723" s="97" t="n"/>
      <c r="H723" s="97" t="n"/>
      <c r="I723" s="97" t="n"/>
      <c r="J723" s="97" t="n"/>
      <c r="K723" s="97" t="n"/>
      <c r="L723" s="97" t="n"/>
      <c r="M723" s="97" t="n"/>
      <c r="N723" s="97" t="n"/>
      <c r="O723" s="97" t="n"/>
      <c r="P723" s="97" t="n"/>
    </row>
    <row r="724" ht="15.75" customHeight="1" s="105">
      <c r="B724" s="97" t="n"/>
      <c r="D724" s="97" t="n"/>
      <c r="E724" s="97" t="n"/>
      <c r="F724" s="97" t="n"/>
      <c r="G724" s="97" t="n"/>
      <c r="H724" s="97" t="n"/>
      <c r="I724" s="97" t="n"/>
      <c r="J724" s="97" t="n"/>
      <c r="K724" s="97" t="n"/>
      <c r="L724" s="97" t="n"/>
      <c r="M724" s="97" t="n"/>
      <c r="N724" s="97" t="n"/>
      <c r="O724" s="97" t="n"/>
      <c r="P724" s="97" t="n"/>
    </row>
    <row r="725" ht="15.75" customHeight="1" s="105">
      <c r="B725" s="97" t="n"/>
      <c r="D725" s="97" t="n"/>
      <c r="E725" s="97" t="n"/>
      <c r="F725" s="97" t="n"/>
      <c r="G725" s="97" t="n"/>
      <c r="H725" s="97" t="n"/>
      <c r="I725" s="97" t="n"/>
      <c r="J725" s="97" t="n"/>
      <c r="K725" s="97" t="n"/>
      <c r="L725" s="97" t="n"/>
      <c r="M725" s="97" t="n"/>
      <c r="N725" s="97" t="n"/>
      <c r="O725" s="97" t="n"/>
      <c r="P725" s="97" t="n"/>
    </row>
    <row r="726" ht="15.75" customHeight="1" s="105">
      <c r="B726" s="97" t="n"/>
      <c r="D726" s="97" t="n"/>
      <c r="E726" s="97" t="n"/>
      <c r="F726" s="97" t="n"/>
      <c r="G726" s="97" t="n"/>
      <c r="H726" s="97" t="n"/>
      <c r="I726" s="97" t="n"/>
      <c r="J726" s="97" t="n"/>
      <c r="K726" s="97" t="n"/>
      <c r="L726" s="97" t="n"/>
      <c r="M726" s="97" t="n"/>
      <c r="N726" s="97" t="n"/>
      <c r="O726" s="97" t="n"/>
      <c r="P726" s="97" t="n"/>
    </row>
    <row r="727" ht="15.75" customHeight="1" s="105">
      <c r="B727" s="97" t="n"/>
      <c r="D727" s="97" t="n"/>
      <c r="E727" s="97" t="n"/>
      <c r="F727" s="97" t="n"/>
      <c r="G727" s="97" t="n"/>
      <c r="H727" s="97" t="n"/>
      <c r="I727" s="97" t="n"/>
      <c r="J727" s="97" t="n"/>
      <c r="K727" s="97" t="n"/>
      <c r="L727" s="97" t="n"/>
      <c r="M727" s="97" t="n"/>
      <c r="N727" s="97" t="n"/>
      <c r="O727" s="97" t="n"/>
      <c r="P727" s="97" t="n"/>
    </row>
    <row r="728" ht="15.75" customHeight="1" s="105">
      <c r="B728" s="97" t="n"/>
      <c r="D728" s="97" t="n"/>
      <c r="E728" s="97" t="n"/>
      <c r="F728" s="97" t="n"/>
      <c r="G728" s="97" t="n"/>
      <c r="H728" s="97" t="n"/>
      <c r="I728" s="97" t="n"/>
      <c r="J728" s="97" t="n"/>
      <c r="K728" s="97" t="n"/>
      <c r="L728" s="97" t="n"/>
      <c r="M728" s="97" t="n"/>
      <c r="N728" s="97" t="n"/>
      <c r="O728" s="97" t="n"/>
      <c r="P728" s="97" t="n"/>
    </row>
    <row r="729" ht="15.75" customHeight="1" s="105">
      <c r="B729" s="97" t="n"/>
      <c r="D729" s="97" t="n"/>
      <c r="E729" s="97" t="n"/>
      <c r="F729" s="97" t="n"/>
      <c r="G729" s="97" t="n"/>
      <c r="H729" s="97" t="n"/>
      <c r="I729" s="97" t="n"/>
      <c r="J729" s="97" t="n"/>
      <c r="K729" s="97" t="n"/>
      <c r="L729" s="97" t="n"/>
      <c r="M729" s="97" t="n"/>
      <c r="N729" s="97" t="n"/>
      <c r="O729" s="97" t="n"/>
      <c r="P729" s="97" t="n"/>
    </row>
    <row r="730" ht="15.75" customHeight="1" s="105">
      <c r="B730" s="97" t="n"/>
      <c r="D730" s="97" t="n"/>
      <c r="E730" s="97" t="n"/>
      <c r="F730" s="97" t="n"/>
      <c r="G730" s="97" t="n"/>
      <c r="H730" s="97" t="n"/>
      <c r="I730" s="97" t="n"/>
      <c r="J730" s="97" t="n"/>
      <c r="K730" s="97" t="n"/>
      <c r="L730" s="97" t="n"/>
      <c r="M730" s="97" t="n"/>
      <c r="N730" s="97" t="n"/>
      <c r="O730" s="97" t="n"/>
      <c r="P730" s="97" t="n"/>
    </row>
    <row r="731" ht="15.75" customHeight="1" s="105">
      <c r="B731" s="97" t="n"/>
      <c r="D731" s="97" t="n"/>
      <c r="E731" s="97" t="n"/>
      <c r="F731" s="97" t="n"/>
      <c r="G731" s="97" t="n"/>
      <c r="H731" s="97" t="n"/>
      <c r="I731" s="97" t="n"/>
      <c r="J731" s="97" t="n"/>
      <c r="K731" s="97" t="n"/>
      <c r="L731" s="97" t="n"/>
      <c r="M731" s="97" t="n"/>
      <c r="N731" s="97" t="n"/>
      <c r="O731" s="97" t="n"/>
      <c r="P731" s="97" t="n"/>
    </row>
    <row r="732" ht="15.75" customHeight="1" s="105">
      <c r="B732" s="97" t="n"/>
      <c r="D732" s="97" t="n"/>
      <c r="E732" s="97" t="n"/>
      <c r="F732" s="97" t="n"/>
      <c r="G732" s="97" t="n"/>
      <c r="H732" s="97" t="n"/>
      <c r="I732" s="97" t="n"/>
      <c r="J732" s="97" t="n"/>
      <c r="K732" s="97" t="n"/>
      <c r="L732" s="97" t="n"/>
      <c r="M732" s="97" t="n"/>
      <c r="N732" s="97" t="n"/>
      <c r="O732" s="97" t="n"/>
      <c r="P732" s="97" t="n"/>
    </row>
    <row r="733" ht="15.75" customHeight="1" s="105">
      <c r="B733" s="97" t="n"/>
      <c r="D733" s="97" t="n"/>
      <c r="E733" s="97" t="n"/>
      <c r="F733" s="97" t="n"/>
      <c r="G733" s="97" t="n"/>
      <c r="H733" s="97" t="n"/>
      <c r="I733" s="97" t="n"/>
      <c r="J733" s="97" t="n"/>
      <c r="K733" s="97" t="n"/>
      <c r="L733" s="97" t="n"/>
      <c r="M733" s="97" t="n"/>
      <c r="N733" s="97" t="n"/>
      <c r="O733" s="97" t="n"/>
      <c r="P733" s="97" t="n"/>
    </row>
    <row r="734" ht="15.75" customHeight="1" s="105">
      <c r="B734" s="97" t="n"/>
      <c r="D734" s="97" t="n"/>
      <c r="E734" s="97" t="n"/>
      <c r="F734" s="97" t="n"/>
      <c r="G734" s="97" t="n"/>
      <c r="H734" s="97" t="n"/>
      <c r="I734" s="97" t="n"/>
      <c r="J734" s="97" t="n"/>
      <c r="K734" s="97" t="n"/>
      <c r="L734" s="97" t="n"/>
      <c r="M734" s="97" t="n"/>
      <c r="N734" s="97" t="n"/>
      <c r="O734" s="97" t="n"/>
      <c r="P734" s="97" t="n"/>
    </row>
    <row r="735" ht="15.75" customHeight="1" s="105">
      <c r="B735" s="97" t="n"/>
      <c r="D735" s="97" t="n"/>
      <c r="E735" s="97" t="n"/>
      <c r="F735" s="97" t="n"/>
      <c r="G735" s="97" t="n"/>
      <c r="H735" s="97" t="n"/>
      <c r="I735" s="97" t="n"/>
      <c r="J735" s="97" t="n"/>
      <c r="K735" s="97" t="n"/>
      <c r="L735" s="97" t="n"/>
      <c r="M735" s="97" t="n"/>
      <c r="N735" s="97" t="n"/>
      <c r="O735" s="97" t="n"/>
      <c r="P735" s="97" t="n"/>
    </row>
    <row r="736" ht="15.75" customHeight="1" s="105">
      <c r="B736" s="97" t="n"/>
      <c r="D736" s="97" t="n"/>
      <c r="E736" s="97" t="n"/>
      <c r="F736" s="97" t="n"/>
      <c r="G736" s="97" t="n"/>
      <c r="H736" s="97" t="n"/>
      <c r="I736" s="97" t="n"/>
      <c r="J736" s="97" t="n"/>
      <c r="K736" s="97" t="n"/>
      <c r="L736" s="97" t="n"/>
      <c r="M736" s="97" t="n"/>
      <c r="N736" s="97" t="n"/>
      <c r="O736" s="97" t="n"/>
      <c r="P736" s="97" t="n"/>
    </row>
    <row r="737" ht="15.75" customHeight="1" s="105">
      <c r="B737" s="97" t="n"/>
      <c r="D737" s="97" t="n"/>
      <c r="E737" s="97" t="n"/>
      <c r="F737" s="97" t="n"/>
      <c r="G737" s="97" t="n"/>
      <c r="H737" s="97" t="n"/>
      <c r="I737" s="97" t="n"/>
      <c r="J737" s="97" t="n"/>
      <c r="K737" s="97" t="n"/>
      <c r="L737" s="97" t="n"/>
      <c r="M737" s="97" t="n"/>
      <c r="N737" s="97" t="n"/>
      <c r="O737" s="97" t="n"/>
      <c r="P737" s="97" t="n"/>
    </row>
    <row r="738" ht="15.75" customHeight="1" s="105">
      <c r="B738" s="97" t="n"/>
      <c r="D738" s="97" t="n"/>
      <c r="E738" s="97" t="n"/>
      <c r="F738" s="97" t="n"/>
      <c r="G738" s="97" t="n"/>
      <c r="H738" s="97" t="n"/>
      <c r="I738" s="97" t="n"/>
      <c r="J738" s="97" t="n"/>
      <c r="K738" s="97" t="n"/>
      <c r="L738" s="97" t="n"/>
      <c r="M738" s="97" t="n"/>
      <c r="N738" s="97" t="n"/>
      <c r="O738" s="97" t="n"/>
      <c r="P738" s="97" t="n"/>
    </row>
    <row r="739" ht="15.75" customHeight="1" s="105">
      <c r="B739" s="97" t="n"/>
      <c r="D739" s="97" t="n"/>
      <c r="E739" s="97" t="n"/>
      <c r="F739" s="97" t="n"/>
      <c r="G739" s="97" t="n"/>
      <c r="H739" s="97" t="n"/>
      <c r="I739" s="97" t="n"/>
      <c r="J739" s="97" t="n"/>
      <c r="K739" s="97" t="n"/>
      <c r="L739" s="97" t="n"/>
      <c r="M739" s="97" t="n"/>
      <c r="N739" s="97" t="n"/>
      <c r="O739" s="97" t="n"/>
      <c r="P739" s="97" t="n"/>
    </row>
    <row r="740" ht="15.75" customHeight="1" s="105">
      <c r="B740" s="97" t="n"/>
      <c r="D740" s="97" t="n"/>
      <c r="E740" s="97" t="n"/>
      <c r="F740" s="97" t="n"/>
      <c r="G740" s="97" t="n"/>
      <c r="H740" s="97" t="n"/>
      <c r="I740" s="97" t="n"/>
      <c r="J740" s="97" t="n"/>
      <c r="K740" s="97" t="n"/>
      <c r="L740" s="97" t="n"/>
      <c r="M740" s="97" t="n"/>
      <c r="N740" s="97" t="n"/>
      <c r="O740" s="97" t="n"/>
      <c r="P740" s="97" t="n"/>
    </row>
    <row r="741" ht="15.75" customHeight="1" s="105">
      <c r="B741" s="97" t="n"/>
      <c r="D741" s="97" t="n"/>
      <c r="E741" s="97" t="n"/>
      <c r="F741" s="97" t="n"/>
      <c r="G741" s="97" t="n"/>
      <c r="H741" s="97" t="n"/>
      <c r="I741" s="97" t="n"/>
      <c r="J741" s="97" t="n"/>
      <c r="K741" s="97" t="n"/>
      <c r="L741" s="97" t="n"/>
      <c r="M741" s="97" t="n"/>
      <c r="N741" s="97" t="n"/>
      <c r="O741" s="97" t="n"/>
      <c r="P741" s="97" t="n"/>
    </row>
    <row r="742" ht="15.75" customHeight="1" s="105">
      <c r="B742" s="97" t="n"/>
      <c r="D742" s="97" t="n"/>
      <c r="E742" s="97" t="n"/>
      <c r="F742" s="97" t="n"/>
      <c r="G742" s="97" t="n"/>
      <c r="H742" s="97" t="n"/>
      <c r="I742" s="97" t="n"/>
      <c r="J742" s="97" t="n"/>
      <c r="K742" s="97" t="n"/>
      <c r="L742" s="97" t="n"/>
      <c r="M742" s="97" t="n"/>
      <c r="N742" s="97" t="n"/>
      <c r="O742" s="97" t="n"/>
      <c r="P742" s="97" t="n"/>
    </row>
    <row r="743" ht="15.75" customHeight="1" s="105">
      <c r="B743" s="97" t="n"/>
      <c r="D743" s="97" t="n"/>
      <c r="E743" s="97" t="n"/>
      <c r="F743" s="97" t="n"/>
      <c r="G743" s="97" t="n"/>
      <c r="H743" s="97" t="n"/>
      <c r="I743" s="97" t="n"/>
      <c r="J743" s="97" t="n"/>
      <c r="K743" s="97" t="n"/>
      <c r="L743" s="97" t="n"/>
      <c r="M743" s="97" t="n"/>
      <c r="N743" s="97" t="n"/>
      <c r="O743" s="97" t="n"/>
      <c r="P743" s="97" t="n"/>
    </row>
    <row r="744" ht="15.75" customHeight="1" s="105">
      <c r="B744" s="97" t="n"/>
      <c r="D744" s="97" t="n"/>
      <c r="E744" s="97" t="n"/>
      <c r="F744" s="97" t="n"/>
      <c r="G744" s="97" t="n"/>
      <c r="H744" s="97" t="n"/>
      <c r="I744" s="97" t="n"/>
      <c r="J744" s="97" t="n"/>
      <c r="K744" s="97" t="n"/>
      <c r="L744" s="97" t="n"/>
      <c r="M744" s="97" t="n"/>
      <c r="N744" s="97" t="n"/>
      <c r="O744" s="97" t="n"/>
      <c r="P744" s="97" t="n"/>
    </row>
    <row r="745" ht="15.75" customHeight="1" s="105">
      <c r="B745" s="97" t="n"/>
      <c r="D745" s="97" t="n"/>
      <c r="E745" s="97" t="n"/>
      <c r="F745" s="97" t="n"/>
      <c r="G745" s="97" t="n"/>
      <c r="H745" s="97" t="n"/>
      <c r="I745" s="97" t="n"/>
      <c r="J745" s="97" t="n"/>
      <c r="K745" s="97" t="n"/>
      <c r="L745" s="97" t="n"/>
      <c r="M745" s="97" t="n"/>
      <c r="N745" s="97" t="n"/>
      <c r="O745" s="97" t="n"/>
      <c r="P745" s="97" t="n"/>
    </row>
    <row r="746" ht="15.75" customHeight="1" s="105">
      <c r="B746" s="97" t="n"/>
      <c r="D746" s="97" t="n"/>
      <c r="E746" s="97" t="n"/>
      <c r="F746" s="97" t="n"/>
      <c r="G746" s="97" t="n"/>
      <c r="H746" s="97" t="n"/>
      <c r="I746" s="97" t="n"/>
      <c r="J746" s="97" t="n"/>
      <c r="K746" s="97" t="n"/>
      <c r="L746" s="97" t="n"/>
      <c r="M746" s="97" t="n"/>
      <c r="N746" s="97" t="n"/>
      <c r="O746" s="97" t="n"/>
      <c r="P746" s="97" t="n"/>
    </row>
    <row r="747" ht="15.75" customHeight="1" s="105">
      <c r="B747" s="97" t="n"/>
      <c r="D747" s="97" t="n"/>
      <c r="E747" s="97" t="n"/>
      <c r="F747" s="97" t="n"/>
      <c r="G747" s="97" t="n"/>
      <c r="H747" s="97" t="n"/>
      <c r="I747" s="97" t="n"/>
      <c r="J747" s="97" t="n"/>
      <c r="K747" s="97" t="n"/>
      <c r="L747" s="97" t="n"/>
      <c r="M747" s="97" t="n"/>
      <c r="N747" s="97" t="n"/>
      <c r="O747" s="97" t="n"/>
      <c r="P747" s="97" t="n"/>
    </row>
    <row r="748" ht="15.75" customHeight="1" s="105">
      <c r="B748" s="97" t="n"/>
      <c r="D748" s="97" t="n"/>
      <c r="E748" s="97" t="n"/>
      <c r="F748" s="97" t="n"/>
      <c r="G748" s="97" t="n"/>
      <c r="H748" s="97" t="n"/>
      <c r="I748" s="97" t="n"/>
      <c r="J748" s="97" t="n"/>
      <c r="K748" s="97" t="n"/>
      <c r="L748" s="97" t="n"/>
      <c r="M748" s="97" t="n"/>
      <c r="N748" s="97" t="n"/>
      <c r="O748" s="97" t="n"/>
      <c r="P748" s="97" t="n"/>
    </row>
    <row r="749" ht="15.75" customHeight="1" s="105">
      <c r="B749" s="97" t="n"/>
      <c r="D749" s="97" t="n"/>
      <c r="E749" s="97" t="n"/>
      <c r="F749" s="97" t="n"/>
      <c r="G749" s="97" t="n"/>
      <c r="H749" s="97" t="n"/>
      <c r="I749" s="97" t="n"/>
      <c r="J749" s="97" t="n"/>
      <c r="K749" s="97" t="n"/>
      <c r="L749" s="97" t="n"/>
      <c r="M749" s="97" t="n"/>
      <c r="N749" s="97" t="n"/>
      <c r="O749" s="97" t="n"/>
      <c r="P749" s="97" t="n"/>
    </row>
    <row r="750" ht="15.75" customHeight="1" s="105">
      <c r="B750" s="97" t="n"/>
      <c r="D750" s="97" t="n"/>
      <c r="E750" s="97" t="n"/>
      <c r="F750" s="97" t="n"/>
      <c r="G750" s="97" t="n"/>
      <c r="H750" s="97" t="n"/>
      <c r="I750" s="97" t="n"/>
      <c r="J750" s="97" t="n"/>
      <c r="K750" s="97" t="n"/>
      <c r="L750" s="97" t="n"/>
      <c r="M750" s="97" t="n"/>
      <c r="N750" s="97" t="n"/>
      <c r="O750" s="97" t="n"/>
      <c r="P750" s="97" t="n"/>
    </row>
    <row r="751" ht="15.75" customHeight="1" s="105">
      <c r="B751" s="97" t="n"/>
      <c r="D751" s="97" t="n"/>
      <c r="E751" s="97" t="n"/>
      <c r="F751" s="97" t="n"/>
      <c r="G751" s="97" t="n"/>
      <c r="H751" s="97" t="n"/>
      <c r="I751" s="97" t="n"/>
      <c r="J751" s="97" t="n"/>
      <c r="K751" s="97" t="n"/>
      <c r="L751" s="97" t="n"/>
      <c r="M751" s="97" t="n"/>
      <c r="N751" s="97" t="n"/>
      <c r="O751" s="97" t="n"/>
      <c r="P751" s="97" t="n"/>
    </row>
    <row r="752" ht="15.75" customHeight="1" s="105">
      <c r="B752" s="97" t="n"/>
      <c r="D752" s="97" t="n"/>
      <c r="E752" s="97" t="n"/>
      <c r="F752" s="97" t="n"/>
      <c r="G752" s="97" t="n"/>
      <c r="H752" s="97" t="n"/>
      <c r="I752" s="97" t="n"/>
      <c r="J752" s="97" t="n"/>
      <c r="K752" s="97" t="n"/>
      <c r="L752" s="97" t="n"/>
      <c r="M752" s="97" t="n"/>
      <c r="N752" s="97" t="n"/>
      <c r="O752" s="97" t="n"/>
      <c r="P752" s="97" t="n"/>
    </row>
    <row r="753" ht="15.75" customHeight="1" s="105">
      <c r="B753" s="97" t="n"/>
      <c r="D753" s="97" t="n"/>
      <c r="E753" s="97" t="n"/>
      <c r="F753" s="97" t="n"/>
      <c r="G753" s="97" t="n"/>
      <c r="H753" s="97" t="n"/>
      <c r="I753" s="97" t="n"/>
      <c r="J753" s="97" t="n"/>
      <c r="K753" s="97" t="n"/>
      <c r="L753" s="97" t="n"/>
      <c r="M753" s="97" t="n"/>
      <c r="N753" s="97" t="n"/>
      <c r="O753" s="97" t="n"/>
      <c r="P753" s="97" t="n"/>
    </row>
    <row r="754" ht="15.75" customHeight="1" s="105">
      <c r="B754" s="97" t="n"/>
      <c r="D754" s="97" t="n"/>
      <c r="E754" s="97" t="n"/>
      <c r="F754" s="97" t="n"/>
      <c r="G754" s="97" t="n"/>
      <c r="H754" s="97" t="n"/>
      <c r="I754" s="97" t="n"/>
      <c r="J754" s="97" t="n"/>
      <c r="K754" s="97" t="n"/>
      <c r="L754" s="97" t="n"/>
      <c r="M754" s="97" t="n"/>
      <c r="N754" s="97" t="n"/>
      <c r="O754" s="97" t="n"/>
      <c r="P754" s="97" t="n"/>
    </row>
    <row r="755" ht="15.75" customHeight="1" s="105">
      <c r="B755" s="97" t="n"/>
      <c r="D755" s="97" t="n"/>
      <c r="E755" s="97" t="n"/>
      <c r="F755" s="97" t="n"/>
      <c r="G755" s="97" t="n"/>
      <c r="H755" s="97" t="n"/>
      <c r="I755" s="97" t="n"/>
      <c r="J755" s="97" t="n"/>
      <c r="K755" s="97" t="n"/>
      <c r="L755" s="97" t="n"/>
      <c r="M755" s="97" t="n"/>
      <c r="N755" s="97" t="n"/>
      <c r="O755" s="97" t="n"/>
      <c r="P755" s="97" t="n"/>
    </row>
    <row r="756" ht="15.75" customHeight="1" s="105">
      <c r="B756" s="97" t="n"/>
      <c r="D756" s="97" t="n"/>
      <c r="E756" s="97" t="n"/>
      <c r="F756" s="97" t="n"/>
      <c r="G756" s="97" t="n"/>
      <c r="H756" s="97" t="n"/>
      <c r="I756" s="97" t="n"/>
      <c r="J756" s="97" t="n"/>
      <c r="K756" s="97" t="n"/>
      <c r="L756" s="97" t="n"/>
      <c r="M756" s="97" t="n"/>
      <c r="N756" s="97" t="n"/>
      <c r="O756" s="97" t="n"/>
      <c r="P756" s="97" t="n"/>
    </row>
    <row r="757" ht="15.75" customHeight="1" s="105">
      <c r="B757" s="97" t="n"/>
      <c r="D757" s="97" t="n"/>
      <c r="E757" s="97" t="n"/>
      <c r="F757" s="97" t="n"/>
      <c r="G757" s="97" t="n"/>
      <c r="H757" s="97" t="n"/>
      <c r="I757" s="97" t="n"/>
      <c r="J757" s="97" t="n"/>
      <c r="K757" s="97" t="n"/>
      <c r="L757" s="97" t="n"/>
      <c r="M757" s="97" t="n"/>
      <c r="N757" s="97" t="n"/>
      <c r="O757" s="97" t="n"/>
      <c r="P757" s="97" t="n"/>
    </row>
    <row r="758" ht="15.75" customHeight="1" s="105">
      <c r="B758" s="97" t="n"/>
      <c r="D758" s="97" t="n"/>
      <c r="E758" s="97" t="n"/>
      <c r="F758" s="97" t="n"/>
      <c r="G758" s="97" t="n"/>
      <c r="H758" s="97" t="n"/>
      <c r="I758" s="97" t="n"/>
      <c r="J758" s="97" t="n"/>
      <c r="K758" s="97" t="n"/>
      <c r="L758" s="97" t="n"/>
      <c r="M758" s="97" t="n"/>
      <c r="N758" s="97" t="n"/>
      <c r="O758" s="97" t="n"/>
      <c r="P758" s="97" t="n"/>
    </row>
    <row r="759" ht="15.75" customHeight="1" s="105">
      <c r="B759" s="97" t="n"/>
      <c r="D759" s="97" t="n"/>
      <c r="E759" s="97" t="n"/>
      <c r="F759" s="97" t="n"/>
      <c r="G759" s="97" t="n"/>
      <c r="H759" s="97" t="n"/>
      <c r="I759" s="97" t="n"/>
      <c r="J759" s="97" t="n"/>
      <c r="K759" s="97" t="n"/>
      <c r="L759" s="97" t="n"/>
      <c r="M759" s="97" t="n"/>
      <c r="N759" s="97" t="n"/>
      <c r="O759" s="97" t="n"/>
      <c r="P759" s="97" t="n"/>
    </row>
    <row r="760" ht="15.75" customHeight="1" s="105">
      <c r="B760" s="97" t="n"/>
      <c r="D760" s="97" t="n"/>
      <c r="E760" s="97" t="n"/>
      <c r="F760" s="97" t="n"/>
      <c r="G760" s="97" t="n"/>
      <c r="H760" s="97" t="n"/>
      <c r="I760" s="97" t="n"/>
      <c r="J760" s="97" t="n"/>
      <c r="K760" s="97" t="n"/>
      <c r="L760" s="97" t="n"/>
      <c r="M760" s="97" t="n"/>
      <c r="N760" s="97" t="n"/>
      <c r="O760" s="97" t="n"/>
      <c r="P760" s="97" t="n"/>
    </row>
    <row r="761" ht="15.75" customHeight="1" s="105">
      <c r="B761" s="97" t="n"/>
      <c r="D761" s="97" t="n"/>
      <c r="E761" s="97" t="n"/>
      <c r="F761" s="97" t="n"/>
      <c r="G761" s="97" t="n"/>
      <c r="H761" s="97" t="n"/>
      <c r="I761" s="97" t="n"/>
      <c r="J761" s="97" t="n"/>
      <c r="K761" s="97" t="n"/>
      <c r="L761" s="97" t="n"/>
      <c r="M761" s="97" t="n"/>
      <c r="N761" s="97" t="n"/>
      <c r="O761" s="97" t="n"/>
      <c r="P761" s="97" t="n"/>
    </row>
    <row r="762" ht="15.75" customHeight="1" s="105">
      <c r="B762" s="97" t="n"/>
      <c r="D762" s="97" t="n"/>
      <c r="E762" s="97" t="n"/>
      <c r="F762" s="97" t="n"/>
      <c r="G762" s="97" t="n"/>
      <c r="H762" s="97" t="n"/>
      <c r="I762" s="97" t="n"/>
      <c r="J762" s="97" t="n"/>
      <c r="K762" s="97" t="n"/>
      <c r="L762" s="97" t="n"/>
      <c r="M762" s="97" t="n"/>
      <c r="N762" s="97" t="n"/>
      <c r="O762" s="97" t="n"/>
      <c r="P762" s="97" t="n"/>
    </row>
    <row r="763" ht="15.75" customHeight="1" s="105">
      <c r="B763" s="97" t="n"/>
      <c r="D763" s="97" t="n"/>
      <c r="E763" s="97" t="n"/>
      <c r="F763" s="97" t="n"/>
      <c r="G763" s="97" t="n"/>
      <c r="H763" s="97" t="n"/>
      <c r="I763" s="97" t="n"/>
      <c r="J763" s="97" t="n"/>
      <c r="K763" s="97" t="n"/>
      <c r="L763" s="97" t="n"/>
      <c r="M763" s="97" t="n"/>
      <c r="N763" s="97" t="n"/>
      <c r="O763" s="97" t="n"/>
      <c r="P763" s="97" t="n"/>
    </row>
    <row r="764" ht="15.75" customHeight="1" s="105">
      <c r="B764" s="97" t="n"/>
      <c r="D764" s="97" t="n"/>
      <c r="E764" s="97" t="n"/>
      <c r="F764" s="97" t="n"/>
      <c r="G764" s="97" t="n"/>
      <c r="H764" s="97" t="n"/>
      <c r="I764" s="97" t="n"/>
      <c r="J764" s="97" t="n"/>
      <c r="K764" s="97" t="n"/>
      <c r="L764" s="97" t="n"/>
      <c r="M764" s="97" t="n"/>
      <c r="N764" s="97" t="n"/>
      <c r="O764" s="97" t="n"/>
      <c r="P764" s="97" t="n"/>
    </row>
    <row r="765" ht="15.75" customHeight="1" s="105">
      <c r="B765" s="97" t="n"/>
      <c r="D765" s="97" t="n"/>
      <c r="E765" s="97" t="n"/>
      <c r="F765" s="97" t="n"/>
      <c r="G765" s="97" t="n"/>
      <c r="H765" s="97" t="n"/>
      <c r="I765" s="97" t="n"/>
      <c r="J765" s="97" t="n"/>
      <c r="K765" s="97" t="n"/>
      <c r="L765" s="97" t="n"/>
      <c r="M765" s="97" t="n"/>
      <c r="N765" s="97" t="n"/>
      <c r="O765" s="97" t="n"/>
      <c r="P765" s="97" t="n"/>
    </row>
    <row r="766" ht="15.75" customHeight="1" s="105">
      <c r="B766" s="97" t="n"/>
      <c r="D766" s="97" t="n"/>
      <c r="E766" s="97" t="n"/>
      <c r="F766" s="97" t="n"/>
      <c r="G766" s="97" t="n"/>
      <c r="H766" s="97" t="n"/>
      <c r="I766" s="97" t="n"/>
      <c r="J766" s="97" t="n"/>
      <c r="K766" s="97" t="n"/>
      <c r="L766" s="97" t="n"/>
      <c r="M766" s="97" t="n"/>
      <c r="N766" s="97" t="n"/>
      <c r="O766" s="97" t="n"/>
      <c r="P766" s="97" t="n"/>
    </row>
    <row r="767" ht="15.75" customHeight="1" s="105">
      <c r="B767" s="97" t="n"/>
      <c r="D767" s="97" t="n"/>
      <c r="E767" s="97" t="n"/>
      <c r="F767" s="97" t="n"/>
      <c r="G767" s="97" t="n"/>
      <c r="H767" s="97" t="n"/>
      <c r="I767" s="97" t="n"/>
      <c r="J767" s="97" t="n"/>
      <c r="K767" s="97" t="n"/>
      <c r="L767" s="97" t="n"/>
      <c r="M767" s="97" t="n"/>
      <c r="N767" s="97" t="n"/>
      <c r="O767" s="97" t="n"/>
      <c r="P767" s="97" t="n"/>
    </row>
    <row r="768" ht="15.75" customHeight="1" s="105">
      <c r="B768" s="97" t="n"/>
      <c r="D768" s="97" t="n"/>
      <c r="E768" s="97" t="n"/>
      <c r="F768" s="97" t="n"/>
      <c r="G768" s="97" t="n"/>
      <c r="H768" s="97" t="n"/>
      <c r="I768" s="97" t="n"/>
      <c r="J768" s="97" t="n"/>
      <c r="K768" s="97" t="n"/>
      <c r="L768" s="97" t="n"/>
      <c r="M768" s="97" t="n"/>
      <c r="N768" s="97" t="n"/>
      <c r="O768" s="97" t="n"/>
      <c r="P768" s="97" t="n"/>
    </row>
    <row r="769" ht="15.75" customHeight="1" s="105">
      <c r="B769" s="97" t="n"/>
      <c r="D769" s="97" t="n"/>
      <c r="E769" s="97" t="n"/>
      <c r="F769" s="97" t="n"/>
      <c r="G769" s="97" t="n"/>
      <c r="H769" s="97" t="n"/>
      <c r="I769" s="97" t="n"/>
      <c r="J769" s="97" t="n"/>
      <c r="K769" s="97" t="n"/>
      <c r="L769" s="97" t="n"/>
      <c r="M769" s="97" t="n"/>
      <c r="N769" s="97" t="n"/>
      <c r="O769" s="97" t="n"/>
      <c r="P769" s="97" t="n"/>
    </row>
    <row r="770" ht="15.75" customHeight="1" s="105">
      <c r="B770" s="97" t="n"/>
      <c r="D770" s="97" t="n"/>
      <c r="E770" s="97" t="n"/>
      <c r="F770" s="97" t="n"/>
      <c r="G770" s="97" t="n"/>
      <c r="H770" s="97" t="n"/>
      <c r="I770" s="97" t="n"/>
      <c r="J770" s="97" t="n"/>
      <c r="K770" s="97" t="n"/>
      <c r="L770" s="97" t="n"/>
      <c r="M770" s="97" t="n"/>
      <c r="N770" s="97" t="n"/>
      <c r="O770" s="97" t="n"/>
      <c r="P770" s="97" t="n"/>
    </row>
    <row r="771" ht="15.75" customHeight="1" s="105">
      <c r="B771" s="97" t="n"/>
      <c r="D771" s="97" t="n"/>
      <c r="E771" s="97" t="n"/>
      <c r="F771" s="97" t="n"/>
      <c r="G771" s="97" t="n"/>
      <c r="H771" s="97" t="n"/>
      <c r="I771" s="97" t="n"/>
      <c r="J771" s="97" t="n"/>
      <c r="K771" s="97" t="n"/>
      <c r="L771" s="97" t="n"/>
      <c r="M771" s="97" t="n"/>
      <c r="N771" s="97" t="n"/>
      <c r="O771" s="97" t="n"/>
      <c r="P771" s="97" t="n"/>
    </row>
    <row r="772" ht="15.75" customHeight="1" s="105">
      <c r="B772" s="97" t="n"/>
      <c r="D772" s="97" t="n"/>
      <c r="E772" s="97" t="n"/>
      <c r="F772" s="97" t="n"/>
      <c r="G772" s="97" t="n"/>
      <c r="H772" s="97" t="n"/>
      <c r="I772" s="97" t="n"/>
      <c r="J772" s="97" t="n"/>
      <c r="K772" s="97" t="n"/>
      <c r="L772" s="97" t="n"/>
      <c r="M772" s="97" t="n"/>
      <c r="N772" s="97" t="n"/>
      <c r="O772" s="97" t="n"/>
      <c r="P772" s="97" t="n"/>
    </row>
    <row r="773" ht="15.75" customHeight="1" s="105">
      <c r="B773" s="97" t="n"/>
      <c r="D773" s="97" t="n"/>
      <c r="E773" s="97" t="n"/>
      <c r="F773" s="97" t="n"/>
      <c r="G773" s="97" t="n"/>
      <c r="H773" s="97" t="n"/>
      <c r="I773" s="97" t="n"/>
      <c r="J773" s="97" t="n"/>
      <c r="K773" s="97" t="n"/>
      <c r="L773" s="97" t="n"/>
      <c r="M773" s="97" t="n"/>
      <c r="N773" s="97" t="n"/>
      <c r="O773" s="97" t="n"/>
      <c r="P773" s="97" t="n"/>
    </row>
    <row r="774" ht="15.75" customHeight="1" s="105">
      <c r="B774" s="97" t="n"/>
      <c r="D774" s="97" t="n"/>
      <c r="E774" s="97" t="n"/>
      <c r="F774" s="97" t="n"/>
      <c r="G774" s="97" t="n"/>
      <c r="H774" s="97" t="n"/>
      <c r="I774" s="97" t="n"/>
      <c r="J774" s="97" t="n"/>
      <c r="K774" s="97" t="n"/>
      <c r="L774" s="97" t="n"/>
      <c r="M774" s="97" t="n"/>
      <c r="N774" s="97" t="n"/>
      <c r="O774" s="97" t="n"/>
      <c r="P774" s="97" t="n"/>
    </row>
    <row r="775" ht="15.75" customHeight="1" s="105">
      <c r="B775" s="97" t="n"/>
      <c r="D775" s="97" t="n"/>
      <c r="E775" s="97" t="n"/>
      <c r="F775" s="97" t="n"/>
      <c r="G775" s="97" t="n"/>
      <c r="H775" s="97" t="n"/>
      <c r="I775" s="97" t="n"/>
      <c r="J775" s="97" t="n"/>
      <c r="K775" s="97" t="n"/>
      <c r="L775" s="97" t="n"/>
      <c r="M775" s="97" t="n"/>
      <c r="N775" s="97" t="n"/>
      <c r="O775" s="97" t="n"/>
      <c r="P775" s="97" t="n"/>
    </row>
    <row r="776" ht="15.75" customHeight="1" s="105">
      <c r="B776" s="97" t="n"/>
      <c r="D776" s="97" t="n"/>
      <c r="E776" s="97" t="n"/>
      <c r="F776" s="97" t="n"/>
      <c r="G776" s="97" t="n"/>
      <c r="H776" s="97" t="n"/>
      <c r="I776" s="97" t="n"/>
      <c r="J776" s="97" t="n"/>
      <c r="K776" s="97" t="n"/>
      <c r="L776" s="97" t="n"/>
      <c r="M776" s="97" t="n"/>
      <c r="N776" s="97" t="n"/>
      <c r="O776" s="97" t="n"/>
      <c r="P776" s="97" t="n"/>
    </row>
    <row r="777" ht="15.75" customHeight="1" s="105">
      <c r="B777" s="97" t="n"/>
      <c r="D777" s="97" t="n"/>
      <c r="E777" s="97" t="n"/>
      <c r="F777" s="97" t="n"/>
      <c r="G777" s="97" t="n"/>
      <c r="H777" s="97" t="n"/>
      <c r="I777" s="97" t="n"/>
      <c r="J777" s="97" t="n"/>
      <c r="K777" s="97" t="n"/>
      <c r="L777" s="97" t="n"/>
      <c r="M777" s="97" t="n"/>
      <c r="N777" s="97" t="n"/>
      <c r="O777" s="97" t="n"/>
      <c r="P777" s="97" t="n"/>
    </row>
    <row r="778" ht="15.75" customHeight="1" s="105">
      <c r="B778" s="97" t="n"/>
      <c r="D778" s="97" t="n"/>
      <c r="E778" s="97" t="n"/>
      <c r="F778" s="97" t="n"/>
      <c r="G778" s="97" t="n"/>
      <c r="H778" s="97" t="n"/>
      <c r="I778" s="97" t="n"/>
      <c r="J778" s="97" t="n"/>
      <c r="K778" s="97" t="n"/>
      <c r="L778" s="97" t="n"/>
      <c r="M778" s="97" t="n"/>
      <c r="N778" s="97" t="n"/>
      <c r="O778" s="97" t="n"/>
      <c r="P778" s="97" t="n"/>
    </row>
    <row r="779" ht="15.75" customHeight="1" s="105">
      <c r="B779" s="97" t="n"/>
      <c r="D779" s="97" t="n"/>
      <c r="E779" s="97" t="n"/>
      <c r="F779" s="97" t="n"/>
      <c r="G779" s="97" t="n"/>
      <c r="H779" s="97" t="n"/>
      <c r="I779" s="97" t="n"/>
      <c r="J779" s="97" t="n"/>
      <c r="K779" s="97" t="n"/>
      <c r="L779" s="97" t="n"/>
      <c r="M779" s="97" t="n"/>
      <c r="N779" s="97" t="n"/>
      <c r="O779" s="97" t="n"/>
      <c r="P779" s="97" t="n"/>
    </row>
    <row r="780" ht="15.75" customHeight="1" s="105">
      <c r="B780" s="97" t="n"/>
      <c r="D780" s="97" t="n"/>
      <c r="E780" s="97" t="n"/>
      <c r="F780" s="97" t="n"/>
      <c r="G780" s="97" t="n"/>
      <c r="H780" s="97" t="n"/>
      <c r="I780" s="97" t="n"/>
      <c r="J780" s="97" t="n"/>
      <c r="K780" s="97" t="n"/>
      <c r="L780" s="97" t="n"/>
      <c r="M780" s="97" t="n"/>
      <c r="N780" s="97" t="n"/>
      <c r="O780" s="97" t="n"/>
      <c r="P780" s="97" t="n"/>
    </row>
    <row r="781" ht="15.75" customHeight="1" s="105">
      <c r="B781" s="97" t="n"/>
      <c r="D781" s="97" t="n"/>
      <c r="E781" s="97" t="n"/>
      <c r="F781" s="97" t="n"/>
      <c r="G781" s="97" t="n"/>
      <c r="H781" s="97" t="n"/>
      <c r="I781" s="97" t="n"/>
      <c r="J781" s="97" t="n"/>
      <c r="K781" s="97" t="n"/>
      <c r="L781" s="97" t="n"/>
      <c r="M781" s="97" t="n"/>
      <c r="N781" s="97" t="n"/>
      <c r="O781" s="97" t="n"/>
      <c r="P781" s="97" t="n"/>
    </row>
    <row r="782" ht="15.75" customHeight="1" s="105">
      <c r="B782" s="97" t="n"/>
      <c r="D782" s="97" t="n"/>
      <c r="E782" s="97" t="n"/>
      <c r="F782" s="97" t="n"/>
      <c r="G782" s="97" t="n"/>
      <c r="H782" s="97" t="n"/>
      <c r="I782" s="97" t="n"/>
      <c r="J782" s="97" t="n"/>
      <c r="K782" s="97" t="n"/>
      <c r="L782" s="97" t="n"/>
      <c r="M782" s="97" t="n"/>
      <c r="N782" s="97" t="n"/>
      <c r="O782" s="97" t="n"/>
      <c r="P782" s="97" t="n"/>
    </row>
    <row r="783" ht="15.75" customHeight="1" s="105">
      <c r="B783" s="97" t="n"/>
      <c r="D783" s="97" t="n"/>
      <c r="E783" s="97" t="n"/>
      <c r="F783" s="97" t="n"/>
      <c r="G783" s="97" t="n"/>
      <c r="H783" s="97" t="n"/>
      <c r="I783" s="97" t="n"/>
      <c r="J783" s="97" t="n"/>
      <c r="K783" s="97" t="n"/>
      <c r="L783" s="97" t="n"/>
      <c r="M783" s="97" t="n"/>
      <c r="N783" s="97" t="n"/>
      <c r="O783" s="97" t="n"/>
      <c r="P783" s="97" t="n"/>
    </row>
    <row r="784" ht="15.75" customHeight="1" s="105">
      <c r="B784" s="97" t="n"/>
      <c r="D784" s="97" t="n"/>
      <c r="E784" s="97" t="n"/>
      <c r="F784" s="97" t="n"/>
      <c r="G784" s="97" t="n"/>
      <c r="H784" s="97" t="n"/>
      <c r="I784" s="97" t="n"/>
      <c r="J784" s="97" t="n"/>
      <c r="K784" s="97" t="n"/>
      <c r="L784" s="97" t="n"/>
      <c r="M784" s="97" t="n"/>
      <c r="N784" s="97" t="n"/>
      <c r="O784" s="97" t="n"/>
      <c r="P784" s="97" t="n"/>
    </row>
    <row r="785" ht="15.75" customHeight="1" s="105">
      <c r="B785" s="97" t="n"/>
      <c r="D785" s="97" t="n"/>
      <c r="E785" s="97" t="n"/>
      <c r="F785" s="97" t="n"/>
      <c r="G785" s="97" t="n"/>
      <c r="H785" s="97" t="n"/>
      <c r="I785" s="97" t="n"/>
      <c r="J785" s="97" t="n"/>
      <c r="K785" s="97" t="n"/>
      <c r="L785" s="97" t="n"/>
      <c r="M785" s="97" t="n"/>
      <c r="N785" s="97" t="n"/>
      <c r="O785" s="97" t="n"/>
      <c r="P785" s="97" t="n"/>
    </row>
    <row r="786" ht="15.75" customHeight="1" s="105">
      <c r="B786" s="97" t="n"/>
      <c r="D786" s="97" t="n"/>
      <c r="E786" s="97" t="n"/>
      <c r="F786" s="97" t="n"/>
      <c r="G786" s="97" t="n"/>
      <c r="H786" s="97" t="n"/>
      <c r="I786" s="97" t="n"/>
      <c r="J786" s="97" t="n"/>
      <c r="K786" s="97" t="n"/>
      <c r="L786" s="97" t="n"/>
      <c r="M786" s="97" t="n"/>
      <c r="N786" s="97" t="n"/>
      <c r="O786" s="97" t="n"/>
      <c r="P786" s="97" t="n"/>
    </row>
    <row r="787" ht="15.75" customHeight="1" s="105">
      <c r="B787" s="97" t="n"/>
      <c r="D787" s="97" t="n"/>
      <c r="E787" s="97" t="n"/>
      <c r="F787" s="97" t="n"/>
      <c r="G787" s="97" t="n"/>
      <c r="H787" s="97" t="n"/>
      <c r="I787" s="97" t="n"/>
      <c r="J787" s="97" t="n"/>
      <c r="K787" s="97" t="n"/>
      <c r="L787" s="97" t="n"/>
      <c r="M787" s="97" t="n"/>
      <c r="N787" s="97" t="n"/>
      <c r="O787" s="97" t="n"/>
      <c r="P787" s="97" t="n"/>
    </row>
    <row r="788" ht="15.75" customHeight="1" s="105">
      <c r="B788" s="97" t="n"/>
      <c r="D788" s="97" t="n"/>
      <c r="E788" s="97" t="n"/>
      <c r="F788" s="97" t="n"/>
      <c r="G788" s="97" t="n"/>
      <c r="H788" s="97" t="n"/>
      <c r="I788" s="97" t="n"/>
      <c r="J788" s="97" t="n"/>
      <c r="K788" s="97" t="n"/>
      <c r="L788" s="97" t="n"/>
      <c r="M788" s="97" t="n"/>
      <c r="N788" s="97" t="n"/>
      <c r="O788" s="97" t="n"/>
      <c r="P788" s="97" t="n"/>
    </row>
    <row r="789" ht="15.75" customHeight="1" s="105">
      <c r="B789" s="97" t="n"/>
      <c r="D789" s="97" t="n"/>
      <c r="E789" s="97" t="n"/>
      <c r="F789" s="97" t="n"/>
      <c r="G789" s="97" t="n"/>
      <c r="H789" s="97" t="n"/>
      <c r="I789" s="97" t="n"/>
      <c r="J789" s="97" t="n"/>
      <c r="K789" s="97" t="n"/>
      <c r="L789" s="97" t="n"/>
      <c r="M789" s="97" t="n"/>
      <c r="N789" s="97" t="n"/>
      <c r="O789" s="97" t="n"/>
      <c r="P789" s="97" t="n"/>
    </row>
    <row r="790" ht="15.75" customHeight="1" s="105">
      <c r="B790" s="97" t="n"/>
      <c r="D790" s="97" t="n"/>
      <c r="E790" s="97" t="n"/>
      <c r="F790" s="97" t="n"/>
      <c r="G790" s="97" t="n"/>
      <c r="H790" s="97" t="n"/>
      <c r="I790" s="97" t="n"/>
      <c r="J790" s="97" t="n"/>
      <c r="K790" s="97" t="n"/>
      <c r="L790" s="97" t="n"/>
      <c r="M790" s="97" t="n"/>
      <c r="N790" s="97" t="n"/>
      <c r="O790" s="97" t="n"/>
      <c r="P790" s="97" t="n"/>
    </row>
    <row r="791" ht="15.75" customHeight="1" s="105">
      <c r="B791" s="97" t="n"/>
      <c r="D791" s="97" t="n"/>
      <c r="E791" s="97" t="n"/>
      <c r="F791" s="97" t="n"/>
      <c r="G791" s="97" t="n"/>
      <c r="H791" s="97" t="n"/>
      <c r="I791" s="97" t="n"/>
      <c r="J791" s="97" t="n"/>
      <c r="K791" s="97" t="n"/>
      <c r="L791" s="97" t="n"/>
      <c r="M791" s="97" t="n"/>
      <c r="N791" s="97" t="n"/>
      <c r="O791" s="97" t="n"/>
      <c r="P791" s="97" t="n"/>
    </row>
    <row r="792" ht="15.75" customHeight="1" s="105">
      <c r="B792" s="97" t="n"/>
      <c r="D792" s="97" t="n"/>
      <c r="E792" s="97" t="n"/>
      <c r="F792" s="97" t="n"/>
      <c r="G792" s="97" t="n"/>
      <c r="H792" s="97" t="n"/>
      <c r="I792" s="97" t="n"/>
      <c r="J792" s="97" t="n"/>
      <c r="K792" s="97" t="n"/>
      <c r="L792" s="97" t="n"/>
      <c r="M792" s="97" t="n"/>
      <c r="N792" s="97" t="n"/>
      <c r="O792" s="97" t="n"/>
      <c r="P792" s="97" t="n"/>
    </row>
    <row r="793" ht="15.75" customHeight="1" s="105">
      <c r="B793" s="97" t="n"/>
      <c r="D793" s="97" t="n"/>
      <c r="E793" s="97" t="n"/>
      <c r="F793" s="97" t="n"/>
      <c r="G793" s="97" t="n"/>
      <c r="H793" s="97" t="n"/>
      <c r="I793" s="97" t="n"/>
      <c r="J793" s="97" t="n"/>
      <c r="K793" s="97" t="n"/>
      <c r="L793" s="97" t="n"/>
      <c r="M793" s="97" t="n"/>
      <c r="N793" s="97" t="n"/>
      <c r="O793" s="97" t="n"/>
      <c r="P793" s="97" t="n"/>
    </row>
    <row r="794" ht="15.75" customHeight="1" s="105">
      <c r="B794" s="97" t="n"/>
      <c r="D794" s="97" t="n"/>
      <c r="E794" s="97" t="n"/>
      <c r="F794" s="97" t="n"/>
      <c r="G794" s="97" t="n"/>
      <c r="H794" s="97" t="n"/>
      <c r="I794" s="97" t="n"/>
      <c r="J794" s="97" t="n"/>
      <c r="K794" s="97" t="n"/>
      <c r="L794" s="97" t="n"/>
      <c r="M794" s="97" t="n"/>
      <c r="N794" s="97" t="n"/>
      <c r="O794" s="97" t="n"/>
      <c r="P794" s="97" t="n"/>
    </row>
    <row r="795" ht="15.75" customHeight="1" s="105">
      <c r="B795" s="97" t="n"/>
      <c r="D795" s="97" t="n"/>
      <c r="E795" s="97" t="n"/>
      <c r="F795" s="97" t="n"/>
      <c r="G795" s="97" t="n"/>
      <c r="H795" s="97" t="n"/>
      <c r="I795" s="97" t="n"/>
      <c r="J795" s="97" t="n"/>
      <c r="K795" s="97" t="n"/>
      <c r="L795" s="97" t="n"/>
      <c r="M795" s="97" t="n"/>
      <c r="N795" s="97" t="n"/>
      <c r="O795" s="97" t="n"/>
      <c r="P795" s="97" t="n"/>
    </row>
    <row r="796" ht="15.75" customHeight="1" s="105">
      <c r="B796" s="97" t="n"/>
      <c r="D796" s="97" t="n"/>
      <c r="E796" s="97" t="n"/>
      <c r="F796" s="97" t="n"/>
      <c r="G796" s="97" t="n"/>
      <c r="H796" s="97" t="n"/>
      <c r="I796" s="97" t="n"/>
      <c r="J796" s="97" t="n"/>
      <c r="K796" s="97" t="n"/>
      <c r="L796" s="97" t="n"/>
      <c r="M796" s="97" t="n"/>
      <c r="N796" s="97" t="n"/>
      <c r="O796" s="97" t="n"/>
      <c r="P796" s="97" t="n"/>
    </row>
    <row r="797" ht="15.75" customHeight="1" s="105">
      <c r="B797" s="97" t="n"/>
      <c r="D797" s="97" t="n"/>
      <c r="E797" s="97" t="n"/>
      <c r="F797" s="97" t="n"/>
      <c r="G797" s="97" t="n"/>
      <c r="H797" s="97" t="n"/>
      <c r="I797" s="97" t="n"/>
      <c r="J797" s="97" t="n"/>
      <c r="K797" s="97" t="n"/>
      <c r="L797" s="97" t="n"/>
      <c r="M797" s="97" t="n"/>
      <c r="N797" s="97" t="n"/>
      <c r="O797" s="97" t="n"/>
      <c r="P797" s="97" t="n"/>
    </row>
    <row r="798" ht="15.75" customHeight="1" s="105">
      <c r="B798" s="97" t="n"/>
      <c r="D798" s="97" t="n"/>
      <c r="E798" s="97" t="n"/>
      <c r="F798" s="97" t="n"/>
      <c r="G798" s="97" t="n"/>
      <c r="H798" s="97" t="n"/>
      <c r="I798" s="97" t="n"/>
      <c r="J798" s="97" t="n"/>
      <c r="K798" s="97" t="n"/>
      <c r="L798" s="97" t="n"/>
      <c r="M798" s="97" t="n"/>
      <c r="N798" s="97" t="n"/>
      <c r="O798" s="97" t="n"/>
      <c r="P798" s="97" t="n"/>
    </row>
    <row r="799" ht="15.75" customHeight="1" s="105">
      <c r="B799" s="97" t="n"/>
      <c r="D799" s="97" t="n"/>
      <c r="E799" s="97" t="n"/>
      <c r="F799" s="97" t="n"/>
      <c r="G799" s="97" t="n"/>
      <c r="H799" s="97" t="n"/>
      <c r="I799" s="97" t="n"/>
      <c r="J799" s="97" t="n"/>
      <c r="K799" s="97" t="n"/>
      <c r="L799" s="97" t="n"/>
      <c r="M799" s="97" t="n"/>
      <c r="N799" s="97" t="n"/>
      <c r="O799" s="97" t="n"/>
      <c r="P799" s="97" t="n"/>
    </row>
    <row r="800" ht="15.75" customHeight="1" s="105">
      <c r="B800" s="97" t="n"/>
      <c r="D800" s="97" t="n"/>
      <c r="E800" s="97" t="n"/>
      <c r="F800" s="97" t="n"/>
      <c r="G800" s="97" t="n"/>
      <c r="H800" s="97" t="n"/>
      <c r="I800" s="97" t="n"/>
      <c r="J800" s="97" t="n"/>
      <c r="K800" s="97" t="n"/>
      <c r="L800" s="97" t="n"/>
      <c r="M800" s="97" t="n"/>
      <c r="N800" s="97" t="n"/>
      <c r="O800" s="97" t="n"/>
      <c r="P800" s="97" t="n"/>
    </row>
    <row r="801" ht="15.75" customHeight="1" s="105">
      <c r="B801" s="97" t="n"/>
      <c r="D801" s="97" t="n"/>
      <c r="E801" s="97" t="n"/>
      <c r="F801" s="97" t="n"/>
      <c r="G801" s="97" t="n"/>
      <c r="H801" s="97" t="n"/>
      <c r="I801" s="97" t="n"/>
      <c r="J801" s="97" t="n"/>
      <c r="K801" s="97" t="n"/>
      <c r="L801" s="97" t="n"/>
      <c r="M801" s="97" t="n"/>
      <c r="N801" s="97" t="n"/>
      <c r="O801" s="97" t="n"/>
      <c r="P801" s="97" t="n"/>
    </row>
    <row r="802" ht="15.75" customHeight="1" s="105">
      <c r="B802" s="97" t="n"/>
      <c r="D802" s="97" t="n"/>
      <c r="E802" s="97" t="n"/>
      <c r="F802" s="97" t="n"/>
      <c r="G802" s="97" t="n"/>
      <c r="H802" s="97" t="n"/>
      <c r="I802" s="97" t="n"/>
      <c r="J802" s="97" t="n"/>
      <c r="K802" s="97" t="n"/>
      <c r="L802" s="97" t="n"/>
      <c r="M802" s="97" t="n"/>
      <c r="N802" s="97" t="n"/>
      <c r="O802" s="97" t="n"/>
      <c r="P802" s="97" t="n"/>
    </row>
    <row r="803" ht="15.75" customHeight="1" s="105">
      <c r="B803" s="97" t="n"/>
      <c r="D803" s="97" t="n"/>
      <c r="E803" s="97" t="n"/>
      <c r="F803" s="97" t="n"/>
      <c r="G803" s="97" t="n"/>
      <c r="H803" s="97" t="n"/>
      <c r="I803" s="97" t="n"/>
      <c r="J803" s="97" t="n"/>
      <c r="K803" s="97" t="n"/>
      <c r="L803" s="97" t="n"/>
      <c r="M803" s="97" t="n"/>
      <c r="N803" s="97" t="n"/>
      <c r="O803" s="97" t="n"/>
      <c r="P803" s="97" t="n"/>
    </row>
    <row r="804" ht="15.75" customHeight="1" s="105">
      <c r="B804" s="97" t="n"/>
      <c r="D804" s="97" t="n"/>
      <c r="E804" s="97" t="n"/>
      <c r="F804" s="97" t="n"/>
      <c r="G804" s="97" t="n"/>
      <c r="H804" s="97" t="n"/>
      <c r="I804" s="97" t="n"/>
      <c r="J804" s="97" t="n"/>
      <c r="K804" s="97" t="n"/>
      <c r="L804" s="97" t="n"/>
      <c r="M804" s="97" t="n"/>
      <c r="N804" s="97" t="n"/>
      <c r="O804" s="97" t="n"/>
      <c r="P804" s="97" t="n"/>
    </row>
    <row r="805" ht="15.75" customHeight="1" s="105">
      <c r="B805" s="97" t="n"/>
      <c r="D805" s="97" t="n"/>
      <c r="E805" s="97" t="n"/>
      <c r="F805" s="97" t="n"/>
      <c r="G805" s="97" t="n"/>
      <c r="H805" s="97" t="n"/>
      <c r="I805" s="97" t="n"/>
      <c r="J805" s="97" t="n"/>
      <c r="K805" s="97" t="n"/>
      <c r="L805" s="97" t="n"/>
      <c r="M805" s="97" t="n"/>
      <c r="N805" s="97" t="n"/>
      <c r="O805" s="97" t="n"/>
      <c r="P805" s="97" t="n"/>
    </row>
    <row r="806" ht="15.75" customHeight="1" s="105">
      <c r="B806" s="97" t="n"/>
      <c r="D806" s="97" t="n"/>
      <c r="E806" s="97" t="n"/>
      <c r="F806" s="97" t="n"/>
      <c r="G806" s="97" t="n"/>
      <c r="H806" s="97" t="n"/>
      <c r="I806" s="97" t="n"/>
      <c r="J806" s="97" t="n"/>
      <c r="K806" s="97" t="n"/>
      <c r="L806" s="97" t="n"/>
      <c r="M806" s="97" t="n"/>
      <c r="N806" s="97" t="n"/>
      <c r="O806" s="97" t="n"/>
      <c r="P806" s="97" t="n"/>
    </row>
    <row r="807" ht="15.75" customHeight="1" s="105">
      <c r="B807" s="97" t="n"/>
      <c r="D807" s="97" t="n"/>
      <c r="E807" s="97" t="n"/>
      <c r="F807" s="97" t="n"/>
      <c r="G807" s="97" t="n"/>
      <c r="H807" s="97" t="n"/>
      <c r="I807" s="97" t="n"/>
      <c r="J807" s="97" t="n"/>
      <c r="K807" s="97" t="n"/>
      <c r="L807" s="97" t="n"/>
      <c r="M807" s="97" t="n"/>
      <c r="N807" s="97" t="n"/>
      <c r="O807" s="97" t="n"/>
      <c r="P807" s="97" t="n"/>
    </row>
    <row r="808" ht="15.75" customHeight="1" s="105">
      <c r="B808" s="97" t="n"/>
      <c r="D808" s="97" t="n"/>
      <c r="E808" s="97" t="n"/>
      <c r="F808" s="97" t="n"/>
      <c r="G808" s="97" t="n"/>
      <c r="H808" s="97" t="n"/>
      <c r="I808" s="97" t="n"/>
      <c r="J808" s="97" t="n"/>
      <c r="K808" s="97" t="n"/>
      <c r="L808" s="97" t="n"/>
      <c r="M808" s="97" t="n"/>
      <c r="N808" s="97" t="n"/>
      <c r="O808" s="97" t="n"/>
      <c r="P808" s="97" t="n"/>
    </row>
    <row r="809" ht="15.75" customHeight="1" s="105">
      <c r="B809" s="97" t="n"/>
      <c r="D809" s="97" t="n"/>
      <c r="E809" s="97" t="n"/>
      <c r="F809" s="97" t="n"/>
      <c r="G809" s="97" t="n"/>
      <c r="H809" s="97" t="n"/>
      <c r="I809" s="97" t="n"/>
      <c r="J809" s="97" t="n"/>
      <c r="K809" s="97" t="n"/>
      <c r="L809" s="97" t="n"/>
      <c r="M809" s="97" t="n"/>
      <c r="N809" s="97" t="n"/>
      <c r="O809" s="97" t="n"/>
      <c r="P809" s="97" t="n"/>
    </row>
    <row r="810" ht="15.75" customHeight="1" s="105">
      <c r="B810" s="97" t="n"/>
      <c r="D810" s="97" t="n"/>
      <c r="E810" s="97" t="n"/>
      <c r="F810" s="97" t="n"/>
      <c r="G810" s="97" t="n"/>
      <c r="H810" s="97" t="n"/>
      <c r="I810" s="97" t="n"/>
      <c r="J810" s="97" t="n"/>
      <c r="K810" s="97" t="n"/>
      <c r="L810" s="97" t="n"/>
      <c r="M810" s="97" t="n"/>
      <c r="N810" s="97" t="n"/>
      <c r="O810" s="97" t="n"/>
      <c r="P810" s="97" t="n"/>
    </row>
    <row r="811" ht="15.75" customHeight="1" s="105">
      <c r="B811" s="97" t="n"/>
      <c r="D811" s="97" t="n"/>
      <c r="E811" s="97" t="n"/>
      <c r="F811" s="97" t="n"/>
      <c r="G811" s="97" t="n"/>
      <c r="H811" s="97" t="n"/>
      <c r="I811" s="97" t="n"/>
      <c r="J811" s="97" t="n"/>
      <c r="K811" s="97" t="n"/>
      <c r="L811" s="97" t="n"/>
      <c r="M811" s="97" t="n"/>
      <c r="N811" s="97" t="n"/>
      <c r="O811" s="97" t="n"/>
      <c r="P811" s="97" t="n"/>
    </row>
    <row r="812" ht="15.75" customHeight="1" s="105">
      <c r="B812" s="97" t="n"/>
      <c r="D812" s="97" t="n"/>
      <c r="E812" s="97" t="n"/>
      <c r="F812" s="97" t="n"/>
      <c r="G812" s="97" t="n"/>
      <c r="H812" s="97" t="n"/>
      <c r="I812" s="97" t="n"/>
      <c r="J812" s="97" t="n"/>
      <c r="K812" s="97" t="n"/>
      <c r="L812" s="97" t="n"/>
      <c r="M812" s="97" t="n"/>
      <c r="N812" s="97" t="n"/>
      <c r="O812" s="97" t="n"/>
      <c r="P812" s="97" t="n"/>
    </row>
    <row r="813" ht="15.75" customHeight="1" s="105">
      <c r="B813" s="97" t="n"/>
      <c r="D813" s="97" t="n"/>
      <c r="E813" s="97" t="n"/>
      <c r="F813" s="97" t="n"/>
      <c r="G813" s="97" t="n"/>
      <c r="H813" s="97" t="n"/>
      <c r="I813" s="97" t="n"/>
      <c r="J813" s="97" t="n"/>
      <c r="K813" s="97" t="n"/>
      <c r="L813" s="97" t="n"/>
      <c r="M813" s="97" t="n"/>
      <c r="N813" s="97" t="n"/>
      <c r="O813" s="97" t="n"/>
      <c r="P813" s="97" t="n"/>
    </row>
    <row r="814" ht="15.75" customHeight="1" s="105">
      <c r="B814" s="97" t="n"/>
      <c r="D814" s="97" t="n"/>
      <c r="E814" s="97" t="n"/>
      <c r="F814" s="97" t="n"/>
      <c r="G814" s="97" t="n"/>
      <c r="H814" s="97" t="n"/>
      <c r="I814" s="97" t="n"/>
      <c r="J814" s="97" t="n"/>
      <c r="K814" s="97" t="n"/>
      <c r="L814" s="97" t="n"/>
      <c r="M814" s="97" t="n"/>
      <c r="N814" s="97" t="n"/>
      <c r="O814" s="97" t="n"/>
      <c r="P814" s="97" t="n"/>
    </row>
    <row r="815" ht="15.75" customHeight="1" s="105">
      <c r="B815" s="97" t="n"/>
      <c r="D815" s="97" t="n"/>
      <c r="E815" s="97" t="n"/>
      <c r="F815" s="97" t="n"/>
      <c r="G815" s="97" t="n"/>
      <c r="H815" s="97" t="n"/>
      <c r="I815" s="97" t="n"/>
      <c r="J815" s="97" t="n"/>
      <c r="K815" s="97" t="n"/>
      <c r="L815" s="97" t="n"/>
      <c r="M815" s="97" t="n"/>
      <c r="N815" s="97" t="n"/>
      <c r="O815" s="97" t="n"/>
      <c r="P815" s="97" t="n"/>
    </row>
    <row r="816" ht="15.75" customHeight="1" s="105">
      <c r="B816" s="97" t="n"/>
      <c r="D816" s="97" t="n"/>
      <c r="E816" s="97" t="n"/>
      <c r="F816" s="97" t="n"/>
      <c r="G816" s="97" t="n"/>
      <c r="H816" s="97" t="n"/>
      <c r="I816" s="97" t="n"/>
      <c r="J816" s="97" t="n"/>
      <c r="K816" s="97" t="n"/>
      <c r="L816" s="97" t="n"/>
      <c r="M816" s="97" t="n"/>
      <c r="N816" s="97" t="n"/>
      <c r="O816" s="97" t="n"/>
      <c r="P816" s="97" t="n"/>
    </row>
    <row r="817" ht="15.75" customHeight="1" s="105">
      <c r="B817" s="97" t="n"/>
      <c r="D817" s="97" t="n"/>
      <c r="E817" s="97" t="n"/>
      <c r="F817" s="97" t="n"/>
      <c r="G817" s="97" t="n"/>
      <c r="H817" s="97" t="n"/>
      <c r="I817" s="97" t="n"/>
      <c r="J817" s="97" t="n"/>
      <c r="K817" s="97" t="n"/>
      <c r="L817" s="97" t="n"/>
      <c r="M817" s="97" t="n"/>
      <c r="N817" s="97" t="n"/>
      <c r="O817" s="97" t="n"/>
      <c r="P817" s="97" t="n"/>
    </row>
    <row r="818" ht="15.75" customHeight="1" s="105">
      <c r="B818" s="97" t="n"/>
      <c r="D818" s="97" t="n"/>
      <c r="E818" s="97" t="n"/>
      <c r="F818" s="97" t="n"/>
      <c r="G818" s="97" t="n"/>
      <c r="H818" s="97" t="n"/>
      <c r="I818" s="97" t="n"/>
      <c r="J818" s="97" t="n"/>
      <c r="K818" s="97" t="n"/>
      <c r="L818" s="97" t="n"/>
      <c r="M818" s="97" t="n"/>
      <c r="N818" s="97" t="n"/>
      <c r="O818" s="97" t="n"/>
      <c r="P818" s="97" t="n"/>
    </row>
    <row r="819" ht="15.75" customHeight="1" s="105">
      <c r="B819" s="97" t="n"/>
      <c r="D819" s="97" t="n"/>
      <c r="E819" s="97" t="n"/>
      <c r="F819" s="97" t="n"/>
      <c r="G819" s="97" t="n"/>
      <c r="H819" s="97" t="n"/>
      <c r="I819" s="97" t="n"/>
      <c r="J819" s="97" t="n"/>
      <c r="K819" s="97" t="n"/>
      <c r="L819" s="97" t="n"/>
      <c r="M819" s="97" t="n"/>
      <c r="N819" s="97" t="n"/>
      <c r="O819" s="97" t="n"/>
      <c r="P819" s="97" t="n"/>
    </row>
    <row r="820" ht="15.75" customHeight="1" s="105">
      <c r="B820" s="97" t="n"/>
      <c r="D820" s="97" t="n"/>
      <c r="E820" s="97" t="n"/>
      <c r="F820" s="97" t="n"/>
      <c r="G820" s="97" t="n"/>
      <c r="H820" s="97" t="n"/>
      <c r="I820" s="97" t="n"/>
      <c r="J820" s="97" t="n"/>
      <c r="K820" s="97" t="n"/>
      <c r="L820" s="97" t="n"/>
      <c r="M820" s="97" t="n"/>
      <c r="N820" s="97" t="n"/>
      <c r="O820" s="97" t="n"/>
      <c r="P820" s="97" t="n"/>
    </row>
    <row r="821" ht="15.75" customHeight="1" s="105">
      <c r="B821" s="97" t="n"/>
      <c r="D821" s="97" t="n"/>
      <c r="E821" s="97" t="n"/>
      <c r="F821" s="97" t="n"/>
      <c r="G821" s="97" t="n"/>
      <c r="H821" s="97" t="n"/>
      <c r="I821" s="97" t="n"/>
      <c r="J821" s="97" t="n"/>
      <c r="K821" s="97" t="n"/>
      <c r="L821" s="97" t="n"/>
      <c r="M821" s="97" t="n"/>
      <c r="N821" s="97" t="n"/>
      <c r="O821" s="97" t="n"/>
      <c r="P821" s="97" t="n"/>
    </row>
    <row r="822" ht="15.75" customHeight="1" s="105">
      <c r="B822" s="97" t="n"/>
      <c r="D822" s="97" t="n"/>
      <c r="E822" s="97" t="n"/>
      <c r="F822" s="97" t="n"/>
      <c r="G822" s="97" t="n"/>
      <c r="H822" s="97" t="n"/>
      <c r="I822" s="97" t="n"/>
      <c r="J822" s="97" t="n"/>
      <c r="K822" s="97" t="n"/>
      <c r="L822" s="97" t="n"/>
      <c r="M822" s="97" t="n"/>
      <c r="N822" s="97" t="n"/>
      <c r="O822" s="97" t="n"/>
      <c r="P822" s="97" t="n"/>
    </row>
    <row r="823" ht="15.75" customHeight="1" s="105">
      <c r="B823" s="97" t="n"/>
      <c r="D823" s="97" t="n"/>
      <c r="E823" s="97" t="n"/>
      <c r="F823" s="97" t="n"/>
      <c r="G823" s="97" t="n"/>
      <c r="H823" s="97" t="n"/>
      <c r="I823" s="97" t="n"/>
      <c r="J823" s="97" t="n"/>
      <c r="K823" s="97" t="n"/>
      <c r="L823" s="97" t="n"/>
      <c r="M823" s="97" t="n"/>
      <c r="N823" s="97" t="n"/>
      <c r="O823" s="97" t="n"/>
      <c r="P823" s="97" t="n"/>
    </row>
    <row r="824" ht="15.75" customHeight="1" s="105">
      <c r="B824" s="97" t="n"/>
      <c r="D824" s="97" t="n"/>
      <c r="E824" s="97" t="n"/>
      <c r="F824" s="97" t="n"/>
      <c r="G824" s="97" t="n"/>
      <c r="H824" s="97" t="n"/>
      <c r="I824" s="97" t="n"/>
      <c r="J824" s="97" t="n"/>
      <c r="K824" s="97" t="n"/>
      <c r="L824" s="97" t="n"/>
      <c r="M824" s="97" t="n"/>
      <c r="N824" s="97" t="n"/>
      <c r="O824" s="97" t="n"/>
      <c r="P824" s="97" t="n"/>
    </row>
    <row r="825" ht="15.75" customHeight="1" s="105">
      <c r="B825" s="97" t="n"/>
      <c r="D825" s="97" t="n"/>
      <c r="E825" s="97" t="n"/>
      <c r="F825" s="97" t="n"/>
      <c r="G825" s="97" t="n"/>
      <c r="H825" s="97" t="n"/>
      <c r="I825" s="97" t="n"/>
      <c r="J825" s="97" t="n"/>
      <c r="K825" s="97" t="n"/>
      <c r="L825" s="97" t="n"/>
      <c r="M825" s="97" t="n"/>
      <c r="N825" s="97" t="n"/>
      <c r="O825" s="97" t="n"/>
      <c r="P825" s="97" t="n"/>
    </row>
    <row r="826" ht="15.75" customHeight="1" s="105">
      <c r="B826" s="97" t="n"/>
      <c r="D826" s="97" t="n"/>
      <c r="E826" s="97" t="n"/>
      <c r="F826" s="97" t="n"/>
      <c r="G826" s="97" t="n"/>
      <c r="H826" s="97" t="n"/>
      <c r="I826" s="97" t="n"/>
      <c r="J826" s="97" t="n"/>
      <c r="K826" s="97" t="n"/>
      <c r="L826" s="97" t="n"/>
      <c r="M826" s="97" t="n"/>
      <c r="N826" s="97" t="n"/>
      <c r="O826" s="97" t="n"/>
      <c r="P826" s="97" t="n"/>
    </row>
    <row r="827" ht="15.75" customHeight="1" s="105">
      <c r="B827" s="97" t="n"/>
      <c r="D827" s="97" t="n"/>
      <c r="E827" s="97" t="n"/>
      <c r="F827" s="97" t="n"/>
      <c r="G827" s="97" t="n"/>
      <c r="H827" s="97" t="n"/>
      <c r="I827" s="97" t="n"/>
      <c r="J827" s="97" t="n"/>
      <c r="K827" s="97" t="n"/>
      <c r="L827" s="97" t="n"/>
      <c r="M827" s="97" t="n"/>
      <c r="N827" s="97" t="n"/>
      <c r="O827" s="97" t="n"/>
      <c r="P827" s="97" t="n"/>
    </row>
    <row r="828" ht="15.75" customHeight="1" s="105">
      <c r="B828" s="97" t="n"/>
      <c r="D828" s="97" t="n"/>
      <c r="E828" s="97" t="n"/>
      <c r="F828" s="97" t="n"/>
      <c r="G828" s="97" t="n"/>
      <c r="H828" s="97" t="n"/>
      <c r="I828" s="97" t="n"/>
      <c r="J828" s="97" t="n"/>
      <c r="K828" s="97" t="n"/>
      <c r="L828" s="97" t="n"/>
      <c r="M828" s="97" t="n"/>
      <c r="N828" s="97" t="n"/>
      <c r="O828" s="97" t="n"/>
      <c r="P828" s="97" t="n"/>
    </row>
    <row r="829" ht="15.75" customHeight="1" s="105">
      <c r="B829" s="97" t="n"/>
      <c r="D829" s="97" t="n"/>
      <c r="E829" s="97" t="n"/>
      <c r="F829" s="97" t="n"/>
      <c r="G829" s="97" t="n"/>
      <c r="H829" s="97" t="n"/>
      <c r="I829" s="97" t="n"/>
      <c r="J829" s="97" t="n"/>
      <c r="K829" s="97" t="n"/>
      <c r="L829" s="97" t="n"/>
      <c r="M829" s="97" t="n"/>
      <c r="N829" s="97" t="n"/>
      <c r="O829" s="97" t="n"/>
      <c r="P829" s="97" t="n"/>
    </row>
    <row r="830" ht="15.75" customHeight="1" s="105">
      <c r="B830" s="97" t="n"/>
      <c r="D830" s="97" t="n"/>
      <c r="E830" s="97" t="n"/>
      <c r="F830" s="97" t="n"/>
      <c r="G830" s="97" t="n"/>
      <c r="H830" s="97" t="n"/>
      <c r="I830" s="97" t="n"/>
      <c r="J830" s="97" t="n"/>
      <c r="K830" s="97" t="n"/>
      <c r="L830" s="97" t="n"/>
      <c r="M830" s="97" t="n"/>
      <c r="N830" s="97" t="n"/>
      <c r="O830" s="97" t="n"/>
      <c r="P830" s="97" t="n"/>
    </row>
    <row r="831" ht="15.75" customHeight="1" s="105">
      <c r="B831" s="97" t="n"/>
      <c r="D831" s="97" t="n"/>
      <c r="E831" s="97" t="n"/>
      <c r="F831" s="97" t="n"/>
      <c r="G831" s="97" t="n"/>
      <c r="H831" s="97" t="n"/>
      <c r="I831" s="97" t="n"/>
      <c r="J831" s="97" t="n"/>
      <c r="K831" s="97" t="n"/>
      <c r="L831" s="97" t="n"/>
      <c r="M831" s="97" t="n"/>
      <c r="N831" s="97" t="n"/>
      <c r="O831" s="97" t="n"/>
      <c r="P831" s="97" t="n"/>
    </row>
    <row r="832" ht="15.75" customHeight="1" s="105">
      <c r="B832" s="97" t="n"/>
      <c r="D832" s="97" t="n"/>
      <c r="E832" s="97" t="n"/>
      <c r="F832" s="97" t="n"/>
      <c r="G832" s="97" t="n"/>
      <c r="H832" s="97" t="n"/>
      <c r="I832" s="97" t="n"/>
      <c r="J832" s="97" t="n"/>
      <c r="K832" s="97" t="n"/>
      <c r="L832" s="97" t="n"/>
      <c r="M832" s="97" t="n"/>
      <c r="N832" s="97" t="n"/>
      <c r="O832" s="97" t="n"/>
      <c r="P832" s="97" t="n"/>
    </row>
    <row r="833" ht="15.75" customHeight="1" s="105">
      <c r="B833" s="97" t="n"/>
      <c r="D833" s="97" t="n"/>
      <c r="E833" s="97" t="n"/>
      <c r="F833" s="97" t="n"/>
      <c r="G833" s="97" t="n"/>
      <c r="H833" s="97" t="n"/>
      <c r="I833" s="97" t="n"/>
      <c r="J833" s="97" t="n"/>
      <c r="K833" s="97" t="n"/>
      <c r="L833" s="97" t="n"/>
      <c r="M833" s="97" t="n"/>
      <c r="N833" s="97" t="n"/>
      <c r="O833" s="97" t="n"/>
      <c r="P833" s="97" t="n"/>
    </row>
    <row r="834" ht="15.75" customHeight="1" s="105">
      <c r="B834" s="97" t="n"/>
      <c r="D834" s="97" t="n"/>
      <c r="E834" s="97" t="n"/>
      <c r="F834" s="97" t="n"/>
      <c r="G834" s="97" t="n"/>
      <c r="H834" s="97" t="n"/>
      <c r="I834" s="97" t="n"/>
      <c r="J834" s="97" t="n"/>
      <c r="K834" s="97" t="n"/>
      <c r="L834" s="97" t="n"/>
      <c r="M834" s="97" t="n"/>
      <c r="N834" s="97" t="n"/>
      <c r="O834" s="97" t="n"/>
      <c r="P834" s="97" t="n"/>
    </row>
    <row r="835" ht="15.75" customHeight="1" s="105">
      <c r="B835" s="97" t="n"/>
      <c r="D835" s="97" t="n"/>
      <c r="E835" s="97" t="n"/>
      <c r="F835" s="97" t="n"/>
      <c r="G835" s="97" t="n"/>
      <c r="H835" s="97" t="n"/>
      <c r="I835" s="97" t="n"/>
      <c r="J835" s="97" t="n"/>
      <c r="K835" s="97" t="n"/>
      <c r="L835" s="97" t="n"/>
      <c r="M835" s="97" t="n"/>
      <c r="N835" s="97" t="n"/>
      <c r="O835" s="97" t="n"/>
      <c r="P835" s="97" t="n"/>
    </row>
    <row r="836" ht="15.75" customHeight="1" s="105">
      <c r="B836" s="97" t="n"/>
      <c r="D836" s="97" t="n"/>
      <c r="E836" s="97" t="n"/>
      <c r="F836" s="97" t="n"/>
      <c r="G836" s="97" t="n"/>
      <c r="H836" s="97" t="n"/>
      <c r="I836" s="97" t="n"/>
      <c r="J836" s="97" t="n"/>
      <c r="K836" s="97" t="n"/>
      <c r="L836" s="97" t="n"/>
      <c r="M836" s="97" t="n"/>
      <c r="N836" s="97" t="n"/>
      <c r="O836" s="97" t="n"/>
      <c r="P836" s="97" t="n"/>
    </row>
    <row r="837" ht="15.75" customHeight="1" s="105">
      <c r="B837" s="97" t="n"/>
      <c r="D837" s="97" t="n"/>
      <c r="E837" s="97" t="n"/>
      <c r="F837" s="97" t="n"/>
      <c r="G837" s="97" t="n"/>
      <c r="H837" s="97" t="n"/>
      <c r="I837" s="97" t="n"/>
      <c r="J837" s="97" t="n"/>
      <c r="K837" s="97" t="n"/>
      <c r="L837" s="97" t="n"/>
      <c r="M837" s="97" t="n"/>
      <c r="N837" s="97" t="n"/>
      <c r="O837" s="97" t="n"/>
      <c r="P837" s="97" t="n"/>
    </row>
    <row r="838" ht="15.75" customHeight="1" s="105">
      <c r="B838" s="97" t="n"/>
      <c r="D838" s="97" t="n"/>
      <c r="E838" s="97" t="n"/>
      <c r="F838" s="97" t="n"/>
      <c r="G838" s="97" t="n"/>
      <c r="H838" s="97" t="n"/>
      <c r="I838" s="97" t="n"/>
      <c r="J838" s="97" t="n"/>
      <c r="K838" s="97" t="n"/>
      <c r="L838" s="97" t="n"/>
      <c r="M838" s="97" t="n"/>
      <c r="N838" s="97" t="n"/>
      <c r="O838" s="97" t="n"/>
      <c r="P838" s="97" t="n"/>
    </row>
    <row r="839" ht="15.75" customHeight="1" s="105">
      <c r="B839" s="97" t="n"/>
      <c r="D839" s="97" t="n"/>
      <c r="E839" s="97" t="n"/>
      <c r="F839" s="97" t="n"/>
      <c r="G839" s="97" t="n"/>
      <c r="H839" s="97" t="n"/>
      <c r="I839" s="97" t="n"/>
      <c r="J839" s="97" t="n"/>
      <c r="K839" s="97" t="n"/>
      <c r="L839" s="97" t="n"/>
      <c r="M839" s="97" t="n"/>
      <c r="N839" s="97" t="n"/>
      <c r="O839" s="97" t="n"/>
      <c r="P839" s="97" t="n"/>
    </row>
    <row r="840" ht="15.75" customHeight="1" s="105">
      <c r="B840" s="97" t="n"/>
      <c r="D840" s="97" t="n"/>
      <c r="E840" s="97" t="n"/>
      <c r="F840" s="97" t="n"/>
      <c r="G840" s="97" t="n"/>
      <c r="H840" s="97" t="n"/>
      <c r="I840" s="97" t="n"/>
      <c r="J840" s="97" t="n"/>
      <c r="K840" s="97" t="n"/>
      <c r="L840" s="97" t="n"/>
      <c r="M840" s="97" t="n"/>
      <c r="N840" s="97" t="n"/>
      <c r="O840" s="97" t="n"/>
      <c r="P840" s="97" t="n"/>
    </row>
    <row r="841" ht="15.75" customHeight="1" s="105">
      <c r="B841" s="97" t="n"/>
      <c r="D841" s="97" t="n"/>
      <c r="E841" s="97" t="n"/>
      <c r="F841" s="97" t="n"/>
      <c r="G841" s="97" t="n"/>
      <c r="H841" s="97" t="n"/>
      <c r="I841" s="97" t="n"/>
      <c r="J841" s="97" t="n"/>
      <c r="K841" s="97" t="n"/>
      <c r="L841" s="97" t="n"/>
      <c r="M841" s="97" t="n"/>
      <c r="N841" s="97" t="n"/>
      <c r="O841" s="97" t="n"/>
      <c r="P841" s="97" t="n"/>
    </row>
    <row r="842" ht="15.75" customHeight="1" s="105">
      <c r="B842" s="97" t="n"/>
      <c r="D842" s="97" t="n"/>
      <c r="E842" s="97" t="n"/>
      <c r="F842" s="97" t="n"/>
      <c r="G842" s="97" t="n"/>
      <c r="H842" s="97" t="n"/>
      <c r="I842" s="97" t="n"/>
      <c r="J842" s="97" t="n"/>
      <c r="K842" s="97" t="n"/>
      <c r="L842" s="97" t="n"/>
      <c r="M842" s="97" t="n"/>
      <c r="N842" s="97" t="n"/>
      <c r="O842" s="97" t="n"/>
      <c r="P842" s="97" t="n"/>
    </row>
    <row r="843" ht="15.75" customHeight="1" s="105">
      <c r="B843" s="97" t="n"/>
      <c r="D843" s="97" t="n"/>
      <c r="E843" s="97" t="n"/>
      <c r="F843" s="97" t="n"/>
      <c r="G843" s="97" t="n"/>
      <c r="H843" s="97" t="n"/>
      <c r="I843" s="97" t="n"/>
      <c r="J843" s="97" t="n"/>
      <c r="K843" s="97" t="n"/>
      <c r="L843" s="97" t="n"/>
      <c r="M843" s="97" t="n"/>
      <c r="N843" s="97" t="n"/>
      <c r="O843" s="97" t="n"/>
      <c r="P843" s="97" t="n"/>
    </row>
    <row r="844" ht="15.75" customHeight="1" s="105">
      <c r="B844" s="97" t="n"/>
      <c r="D844" s="97" t="n"/>
      <c r="E844" s="97" t="n"/>
      <c r="F844" s="97" t="n"/>
      <c r="G844" s="97" t="n"/>
      <c r="H844" s="97" t="n"/>
      <c r="I844" s="97" t="n"/>
      <c r="J844" s="97" t="n"/>
      <c r="K844" s="97" t="n"/>
      <c r="L844" s="97" t="n"/>
      <c r="M844" s="97" t="n"/>
      <c r="N844" s="97" t="n"/>
      <c r="O844" s="97" t="n"/>
      <c r="P844" s="97" t="n"/>
    </row>
    <row r="845" ht="15.75" customHeight="1" s="105">
      <c r="B845" s="97" t="n"/>
      <c r="D845" s="97" t="n"/>
      <c r="E845" s="97" t="n"/>
      <c r="F845" s="97" t="n"/>
      <c r="G845" s="97" t="n"/>
      <c r="H845" s="97" t="n"/>
      <c r="I845" s="97" t="n"/>
      <c r="J845" s="97" t="n"/>
      <c r="K845" s="97" t="n"/>
      <c r="L845" s="97" t="n"/>
      <c r="M845" s="97" t="n"/>
      <c r="N845" s="97" t="n"/>
      <c r="O845" s="97" t="n"/>
      <c r="P845" s="97" t="n"/>
    </row>
    <row r="846" ht="15.75" customHeight="1" s="105">
      <c r="B846" s="97" t="n"/>
      <c r="D846" s="97" t="n"/>
      <c r="E846" s="97" t="n"/>
      <c r="F846" s="97" t="n"/>
      <c r="G846" s="97" t="n"/>
      <c r="H846" s="97" t="n"/>
      <c r="I846" s="97" t="n"/>
      <c r="J846" s="97" t="n"/>
      <c r="K846" s="97" t="n"/>
      <c r="L846" s="97" t="n"/>
      <c r="M846" s="97" t="n"/>
      <c r="N846" s="97" t="n"/>
      <c r="O846" s="97" t="n"/>
      <c r="P846" s="97" t="n"/>
    </row>
    <row r="847" ht="15.75" customHeight="1" s="105">
      <c r="B847" s="97" t="n"/>
      <c r="D847" s="97" t="n"/>
      <c r="E847" s="97" t="n"/>
      <c r="F847" s="97" t="n"/>
      <c r="G847" s="97" t="n"/>
      <c r="H847" s="97" t="n"/>
      <c r="I847" s="97" t="n"/>
      <c r="J847" s="97" t="n"/>
      <c r="K847" s="97" t="n"/>
      <c r="L847" s="97" t="n"/>
      <c r="M847" s="97" t="n"/>
      <c r="N847" s="97" t="n"/>
      <c r="O847" s="97" t="n"/>
      <c r="P847" s="97" t="n"/>
    </row>
    <row r="848" ht="15.75" customHeight="1" s="105">
      <c r="B848" s="97" t="n"/>
      <c r="D848" s="97" t="n"/>
      <c r="E848" s="97" t="n"/>
      <c r="F848" s="97" t="n"/>
      <c r="G848" s="97" t="n"/>
      <c r="H848" s="97" t="n"/>
      <c r="I848" s="97" t="n"/>
      <c r="J848" s="97" t="n"/>
      <c r="K848" s="97" t="n"/>
      <c r="L848" s="97" t="n"/>
      <c r="M848" s="97" t="n"/>
      <c r="N848" s="97" t="n"/>
      <c r="O848" s="97" t="n"/>
      <c r="P848" s="97" t="n"/>
    </row>
    <row r="849" ht="15.75" customHeight="1" s="105">
      <c r="B849" s="97" t="n"/>
      <c r="D849" s="97" t="n"/>
      <c r="E849" s="97" t="n"/>
      <c r="F849" s="97" t="n"/>
      <c r="G849" s="97" t="n"/>
      <c r="H849" s="97" t="n"/>
      <c r="I849" s="97" t="n"/>
      <c r="J849" s="97" t="n"/>
      <c r="K849" s="97" t="n"/>
      <c r="L849" s="97" t="n"/>
      <c r="M849" s="97" t="n"/>
      <c r="N849" s="97" t="n"/>
      <c r="O849" s="97" t="n"/>
      <c r="P849" s="97" t="n"/>
    </row>
    <row r="850" ht="15.75" customHeight="1" s="105">
      <c r="B850" s="97" t="n"/>
      <c r="D850" s="97" t="n"/>
      <c r="E850" s="97" t="n"/>
      <c r="F850" s="97" t="n"/>
      <c r="G850" s="97" t="n"/>
      <c r="H850" s="97" t="n"/>
      <c r="I850" s="97" t="n"/>
      <c r="J850" s="97" t="n"/>
      <c r="K850" s="97" t="n"/>
      <c r="L850" s="97" t="n"/>
      <c r="M850" s="97" t="n"/>
      <c r="N850" s="97" t="n"/>
      <c r="O850" s="97" t="n"/>
      <c r="P850" s="97" t="n"/>
    </row>
    <row r="851" ht="15.75" customHeight="1" s="105">
      <c r="B851" s="97" t="n"/>
      <c r="D851" s="97" t="n"/>
      <c r="E851" s="97" t="n"/>
      <c r="F851" s="97" t="n"/>
      <c r="G851" s="97" t="n"/>
      <c r="H851" s="97" t="n"/>
      <c r="I851" s="97" t="n"/>
      <c r="J851" s="97" t="n"/>
      <c r="K851" s="97" t="n"/>
      <c r="L851" s="97" t="n"/>
      <c r="M851" s="97" t="n"/>
      <c r="N851" s="97" t="n"/>
      <c r="O851" s="97" t="n"/>
      <c r="P851" s="97" t="n"/>
    </row>
    <row r="852" ht="15.75" customHeight="1" s="105">
      <c r="B852" s="97" t="n"/>
      <c r="D852" s="97" t="n"/>
      <c r="E852" s="97" t="n"/>
      <c r="F852" s="97" t="n"/>
      <c r="G852" s="97" t="n"/>
      <c r="H852" s="97" t="n"/>
      <c r="I852" s="97" t="n"/>
      <c r="J852" s="97" t="n"/>
      <c r="K852" s="97" t="n"/>
      <c r="L852" s="97" t="n"/>
      <c r="M852" s="97" t="n"/>
      <c r="N852" s="97" t="n"/>
      <c r="O852" s="97" t="n"/>
      <c r="P852" s="97" t="n"/>
    </row>
    <row r="853" ht="15.75" customHeight="1" s="105">
      <c r="B853" s="97" t="n"/>
      <c r="D853" s="97" t="n"/>
      <c r="E853" s="97" t="n"/>
      <c r="F853" s="97" t="n"/>
      <c r="G853" s="97" t="n"/>
      <c r="H853" s="97" t="n"/>
      <c r="I853" s="97" t="n"/>
      <c r="J853" s="97" t="n"/>
      <c r="K853" s="97" t="n"/>
      <c r="L853" s="97" t="n"/>
      <c r="M853" s="97" t="n"/>
      <c r="N853" s="97" t="n"/>
      <c r="O853" s="97" t="n"/>
      <c r="P853" s="97" t="n"/>
    </row>
    <row r="854" ht="15.75" customHeight="1" s="105">
      <c r="B854" s="97" t="n"/>
      <c r="D854" s="97" t="n"/>
      <c r="E854" s="97" t="n"/>
      <c r="F854" s="97" t="n"/>
      <c r="G854" s="97" t="n"/>
      <c r="H854" s="97" t="n"/>
      <c r="I854" s="97" t="n"/>
      <c r="J854" s="97" t="n"/>
      <c r="K854" s="97" t="n"/>
      <c r="L854" s="97" t="n"/>
      <c r="M854" s="97" t="n"/>
      <c r="N854" s="97" t="n"/>
      <c r="O854" s="97" t="n"/>
      <c r="P854" s="97" t="n"/>
    </row>
    <row r="855" ht="15.75" customHeight="1" s="105">
      <c r="B855" s="97" t="n"/>
      <c r="D855" s="97" t="n"/>
      <c r="E855" s="97" t="n"/>
      <c r="F855" s="97" t="n"/>
      <c r="G855" s="97" t="n"/>
      <c r="H855" s="97" t="n"/>
      <c r="I855" s="97" t="n"/>
      <c r="J855" s="97" t="n"/>
      <c r="K855" s="97" t="n"/>
      <c r="L855" s="97" t="n"/>
      <c r="M855" s="97" t="n"/>
      <c r="N855" s="97" t="n"/>
      <c r="O855" s="97" t="n"/>
      <c r="P855" s="97" t="n"/>
    </row>
    <row r="856" ht="15.75" customHeight="1" s="105">
      <c r="B856" s="97" t="n"/>
      <c r="D856" s="97" t="n"/>
      <c r="E856" s="97" t="n"/>
      <c r="F856" s="97" t="n"/>
      <c r="G856" s="97" t="n"/>
      <c r="H856" s="97" t="n"/>
      <c r="I856" s="97" t="n"/>
      <c r="J856" s="97" t="n"/>
      <c r="K856" s="97" t="n"/>
      <c r="L856" s="97" t="n"/>
      <c r="M856" s="97" t="n"/>
      <c r="N856" s="97" t="n"/>
      <c r="O856" s="97" t="n"/>
      <c r="P856" s="97" t="n"/>
    </row>
    <row r="857" ht="15.75" customHeight="1" s="105">
      <c r="B857" s="97" t="n"/>
      <c r="D857" s="97" t="n"/>
      <c r="E857" s="97" t="n"/>
      <c r="F857" s="97" t="n"/>
      <c r="G857" s="97" t="n"/>
      <c r="H857" s="97" t="n"/>
      <c r="I857" s="97" t="n"/>
      <c r="J857" s="97" t="n"/>
      <c r="K857" s="97" t="n"/>
      <c r="L857" s="97" t="n"/>
      <c r="M857" s="97" t="n"/>
      <c r="N857" s="97" t="n"/>
      <c r="O857" s="97" t="n"/>
      <c r="P857" s="97" t="n"/>
    </row>
    <row r="858" ht="15.75" customHeight="1" s="105">
      <c r="B858" s="97" t="n"/>
      <c r="D858" s="97" t="n"/>
      <c r="E858" s="97" t="n"/>
      <c r="F858" s="97" t="n"/>
      <c r="G858" s="97" t="n"/>
      <c r="H858" s="97" t="n"/>
      <c r="I858" s="97" t="n"/>
      <c r="J858" s="97" t="n"/>
      <c r="K858" s="97" t="n"/>
      <c r="L858" s="97" t="n"/>
      <c r="M858" s="97" t="n"/>
      <c r="N858" s="97" t="n"/>
      <c r="O858" s="97" t="n"/>
      <c r="P858" s="97" t="n"/>
    </row>
    <row r="859" ht="15.75" customHeight="1" s="105">
      <c r="B859" s="97" t="n"/>
      <c r="D859" s="97" t="n"/>
      <c r="E859" s="97" t="n"/>
      <c r="F859" s="97" t="n"/>
      <c r="G859" s="97" t="n"/>
      <c r="H859" s="97" t="n"/>
      <c r="I859" s="97" t="n"/>
      <c r="J859" s="97" t="n"/>
      <c r="K859" s="97" t="n"/>
      <c r="L859" s="97" t="n"/>
      <c r="M859" s="97" t="n"/>
      <c r="N859" s="97" t="n"/>
      <c r="O859" s="97" t="n"/>
      <c r="P859" s="97" t="n"/>
    </row>
    <row r="860" ht="15.75" customHeight="1" s="105">
      <c r="B860" s="97" t="n"/>
      <c r="D860" s="97" t="n"/>
      <c r="E860" s="97" t="n"/>
      <c r="F860" s="97" t="n"/>
      <c r="G860" s="97" t="n"/>
      <c r="H860" s="97" t="n"/>
      <c r="I860" s="97" t="n"/>
      <c r="J860" s="97" t="n"/>
      <c r="K860" s="97" t="n"/>
      <c r="L860" s="97" t="n"/>
      <c r="M860" s="97" t="n"/>
      <c r="N860" s="97" t="n"/>
      <c r="O860" s="97" t="n"/>
      <c r="P860" s="97" t="n"/>
    </row>
    <row r="861" ht="15.75" customHeight="1" s="105">
      <c r="B861" s="97" t="n"/>
      <c r="D861" s="97" t="n"/>
      <c r="E861" s="97" t="n"/>
      <c r="F861" s="97" t="n"/>
      <c r="G861" s="97" t="n"/>
      <c r="H861" s="97" t="n"/>
      <c r="I861" s="97" t="n"/>
      <c r="J861" s="97" t="n"/>
      <c r="K861" s="97" t="n"/>
      <c r="L861" s="97" t="n"/>
      <c r="M861" s="97" t="n"/>
      <c r="N861" s="97" t="n"/>
      <c r="O861" s="97" t="n"/>
      <c r="P861" s="97" t="n"/>
    </row>
    <row r="862" ht="15.75" customHeight="1" s="105">
      <c r="B862" s="97" t="n"/>
      <c r="D862" s="97" t="n"/>
      <c r="E862" s="97" t="n"/>
      <c r="F862" s="97" t="n"/>
      <c r="G862" s="97" t="n"/>
      <c r="H862" s="97" t="n"/>
      <c r="I862" s="97" t="n"/>
      <c r="J862" s="97" t="n"/>
      <c r="K862" s="97" t="n"/>
      <c r="L862" s="97" t="n"/>
      <c r="M862" s="97" t="n"/>
      <c r="N862" s="97" t="n"/>
      <c r="O862" s="97" t="n"/>
      <c r="P862" s="97" t="n"/>
    </row>
    <row r="863" ht="15.75" customHeight="1" s="105">
      <c r="B863" s="97" t="n"/>
      <c r="D863" s="97" t="n"/>
      <c r="E863" s="97" t="n"/>
      <c r="F863" s="97" t="n"/>
      <c r="G863" s="97" t="n"/>
      <c r="H863" s="97" t="n"/>
      <c r="I863" s="97" t="n"/>
      <c r="J863" s="97" t="n"/>
      <c r="K863" s="97" t="n"/>
      <c r="L863" s="97" t="n"/>
      <c r="M863" s="97" t="n"/>
      <c r="N863" s="97" t="n"/>
      <c r="O863" s="97" t="n"/>
      <c r="P863" s="97" t="n"/>
    </row>
    <row r="864" ht="15.75" customHeight="1" s="105">
      <c r="B864" s="97" t="n"/>
      <c r="D864" s="97" t="n"/>
      <c r="E864" s="97" t="n"/>
      <c r="F864" s="97" t="n"/>
      <c r="G864" s="97" t="n"/>
      <c r="H864" s="97" t="n"/>
      <c r="I864" s="97" t="n"/>
      <c r="J864" s="97" t="n"/>
      <c r="K864" s="97" t="n"/>
      <c r="L864" s="97" t="n"/>
      <c r="M864" s="97" t="n"/>
      <c r="N864" s="97" t="n"/>
      <c r="O864" s="97" t="n"/>
      <c r="P864" s="97" t="n"/>
    </row>
    <row r="865" ht="15.75" customHeight="1" s="105">
      <c r="B865" s="97" t="n"/>
      <c r="D865" s="97" t="n"/>
      <c r="E865" s="97" t="n"/>
      <c r="F865" s="97" t="n"/>
      <c r="G865" s="97" t="n"/>
      <c r="H865" s="97" t="n"/>
      <c r="I865" s="97" t="n"/>
      <c r="J865" s="97" t="n"/>
      <c r="K865" s="97" t="n"/>
      <c r="L865" s="97" t="n"/>
      <c r="M865" s="97" t="n"/>
      <c r="N865" s="97" t="n"/>
      <c r="O865" s="97" t="n"/>
      <c r="P865" s="97" t="n"/>
    </row>
    <row r="866" ht="15.75" customHeight="1" s="105">
      <c r="B866" s="97" t="n"/>
      <c r="D866" s="97" t="n"/>
      <c r="E866" s="97" t="n"/>
      <c r="F866" s="97" t="n"/>
      <c r="G866" s="97" t="n"/>
      <c r="H866" s="97" t="n"/>
      <c r="I866" s="97" t="n"/>
      <c r="J866" s="97" t="n"/>
      <c r="K866" s="97" t="n"/>
      <c r="L866" s="97" t="n"/>
      <c r="M866" s="97" t="n"/>
      <c r="N866" s="97" t="n"/>
      <c r="O866" s="97" t="n"/>
      <c r="P866" s="97" t="n"/>
    </row>
    <row r="867" ht="15.75" customHeight="1" s="105">
      <c r="B867" s="97" t="n"/>
      <c r="D867" s="97" t="n"/>
      <c r="E867" s="97" t="n"/>
      <c r="F867" s="97" t="n"/>
      <c r="G867" s="97" t="n"/>
      <c r="H867" s="97" t="n"/>
      <c r="I867" s="97" t="n"/>
      <c r="J867" s="97" t="n"/>
      <c r="K867" s="97" t="n"/>
      <c r="L867" s="97" t="n"/>
      <c r="M867" s="97" t="n"/>
      <c r="N867" s="97" t="n"/>
      <c r="O867" s="97" t="n"/>
      <c r="P867" s="97" t="n"/>
    </row>
    <row r="868" ht="15.75" customHeight="1" s="105">
      <c r="B868" s="97" t="n"/>
      <c r="D868" s="97" t="n"/>
      <c r="E868" s="97" t="n"/>
      <c r="F868" s="97" t="n"/>
      <c r="G868" s="97" t="n"/>
      <c r="H868" s="97" t="n"/>
      <c r="I868" s="97" t="n"/>
      <c r="J868" s="97" t="n"/>
      <c r="K868" s="97" t="n"/>
      <c r="L868" s="97" t="n"/>
      <c r="M868" s="97" t="n"/>
      <c r="N868" s="97" t="n"/>
      <c r="O868" s="97" t="n"/>
      <c r="P868" s="97" t="n"/>
    </row>
    <row r="869" ht="15.75" customHeight="1" s="105">
      <c r="B869" s="97" t="n"/>
      <c r="D869" s="97" t="n"/>
      <c r="E869" s="97" t="n"/>
      <c r="F869" s="97" t="n"/>
      <c r="G869" s="97" t="n"/>
      <c r="H869" s="97" t="n"/>
      <c r="I869" s="97" t="n"/>
      <c r="J869" s="97" t="n"/>
      <c r="K869" s="97" t="n"/>
      <c r="L869" s="97" t="n"/>
      <c r="M869" s="97" t="n"/>
      <c r="N869" s="97" t="n"/>
      <c r="O869" s="97" t="n"/>
      <c r="P869" s="97" t="n"/>
    </row>
    <row r="870" ht="15.75" customHeight="1" s="105">
      <c r="B870" s="97" t="n"/>
      <c r="D870" s="97" t="n"/>
      <c r="E870" s="97" t="n"/>
      <c r="F870" s="97" t="n"/>
      <c r="G870" s="97" t="n"/>
      <c r="H870" s="97" t="n"/>
      <c r="I870" s="97" t="n"/>
      <c r="J870" s="97" t="n"/>
      <c r="K870" s="97" t="n"/>
      <c r="L870" s="97" t="n"/>
      <c r="M870" s="97" t="n"/>
      <c r="N870" s="97" t="n"/>
      <c r="O870" s="97" t="n"/>
      <c r="P870" s="97" t="n"/>
    </row>
    <row r="871" ht="15.75" customHeight="1" s="105">
      <c r="B871" s="97" t="n"/>
      <c r="D871" s="97" t="n"/>
      <c r="E871" s="97" t="n"/>
      <c r="F871" s="97" t="n"/>
      <c r="G871" s="97" t="n"/>
      <c r="H871" s="97" t="n"/>
      <c r="I871" s="97" t="n"/>
      <c r="J871" s="97" t="n"/>
      <c r="K871" s="97" t="n"/>
      <c r="L871" s="97" t="n"/>
      <c r="M871" s="97" t="n"/>
      <c r="N871" s="97" t="n"/>
      <c r="O871" s="97" t="n"/>
      <c r="P871" s="97" t="n"/>
    </row>
    <row r="872" ht="15.75" customHeight="1" s="105">
      <c r="B872" s="97" t="n"/>
      <c r="D872" s="97" t="n"/>
      <c r="E872" s="97" t="n"/>
      <c r="F872" s="97" t="n"/>
      <c r="G872" s="97" t="n"/>
      <c r="H872" s="97" t="n"/>
      <c r="I872" s="97" t="n"/>
      <c r="J872" s="97" t="n"/>
      <c r="K872" s="97" t="n"/>
      <c r="L872" s="97" t="n"/>
      <c r="M872" s="97" t="n"/>
      <c r="N872" s="97" t="n"/>
      <c r="O872" s="97" t="n"/>
      <c r="P872" s="97" t="n"/>
    </row>
    <row r="873" ht="15.75" customHeight="1" s="105">
      <c r="B873" s="97" t="n"/>
      <c r="D873" s="97" t="n"/>
      <c r="E873" s="97" t="n"/>
      <c r="F873" s="97" t="n"/>
      <c r="G873" s="97" t="n"/>
      <c r="H873" s="97" t="n"/>
      <c r="I873" s="97" t="n"/>
      <c r="J873" s="97" t="n"/>
      <c r="K873" s="97" t="n"/>
      <c r="L873" s="97" t="n"/>
      <c r="M873" s="97" t="n"/>
      <c r="N873" s="97" t="n"/>
      <c r="O873" s="97" t="n"/>
      <c r="P873" s="97" t="n"/>
    </row>
    <row r="874" ht="15.75" customHeight="1" s="105">
      <c r="B874" s="97" t="n"/>
      <c r="D874" s="97" t="n"/>
      <c r="E874" s="97" t="n"/>
      <c r="F874" s="97" t="n"/>
      <c r="G874" s="97" t="n"/>
      <c r="H874" s="97" t="n"/>
      <c r="I874" s="97" t="n"/>
      <c r="J874" s="97" t="n"/>
      <c r="K874" s="97" t="n"/>
      <c r="L874" s="97" t="n"/>
      <c r="M874" s="97" t="n"/>
      <c r="N874" s="97" t="n"/>
      <c r="O874" s="97" t="n"/>
      <c r="P874" s="97" t="n"/>
    </row>
    <row r="875" ht="15.75" customHeight="1" s="105">
      <c r="B875" s="97" t="n"/>
      <c r="D875" s="97" t="n"/>
      <c r="E875" s="97" t="n"/>
      <c r="F875" s="97" t="n"/>
      <c r="G875" s="97" t="n"/>
      <c r="H875" s="97" t="n"/>
      <c r="I875" s="97" t="n"/>
      <c r="J875" s="97" t="n"/>
      <c r="K875" s="97" t="n"/>
      <c r="L875" s="97" t="n"/>
      <c r="M875" s="97" t="n"/>
      <c r="N875" s="97" t="n"/>
      <c r="O875" s="97" t="n"/>
      <c r="P875" s="97" t="n"/>
    </row>
    <row r="876" ht="15.75" customHeight="1" s="105">
      <c r="B876" s="97" t="n"/>
      <c r="D876" s="97" t="n"/>
      <c r="E876" s="97" t="n"/>
      <c r="F876" s="97" t="n"/>
      <c r="G876" s="97" t="n"/>
      <c r="H876" s="97" t="n"/>
      <c r="I876" s="97" t="n"/>
      <c r="J876" s="97" t="n"/>
      <c r="K876" s="97" t="n"/>
      <c r="L876" s="97" t="n"/>
      <c r="M876" s="97" t="n"/>
      <c r="N876" s="97" t="n"/>
      <c r="O876" s="97" t="n"/>
      <c r="P876" s="97" t="n"/>
    </row>
    <row r="877" ht="15.75" customHeight="1" s="105">
      <c r="B877" s="97" t="n"/>
      <c r="D877" s="97" t="n"/>
      <c r="E877" s="97" t="n"/>
      <c r="F877" s="97" t="n"/>
      <c r="G877" s="97" t="n"/>
      <c r="H877" s="97" t="n"/>
      <c r="I877" s="97" t="n"/>
      <c r="J877" s="97" t="n"/>
      <c r="K877" s="97" t="n"/>
      <c r="L877" s="97" t="n"/>
      <c r="M877" s="97" t="n"/>
      <c r="N877" s="97" t="n"/>
      <c r="O877" s="97" t="n"/>
      <c r="P877" s="97" t="n"/>
    </row>
    <row r="878" ht="15.75" customHeight="1" s="105">
      <c r="B878" s="97" t="n"/>
      <c r="D878" s="97" t="n"/>
      <c r="E878" s="97" t="n"/>
      <c r="F878" s="97" t="n"/>
      <c r="G878" s="97" t="n"/>
      <c r="H878" s="97" t="n"/>
      <c r="I878" s="97" t="n"/>
      <c r="J878" s="97" t="n"/>
      <c r="K878" s="97" t="n"/>
      <c r="L878" s="97" t="n"/>
      <c r="M878" s="97" t="n"/>
      <c r="N878" s="97" t="n"/>
      <c r="O878" s="97" t="n"/>
      <c r="P878" s="97" t="n"/>
    </row>
    <row r="879" ht="15.75" customHeight="1" s="105">
      <c r="B879" s="97" t="n"/>
      <c r="D879" s="97" t="n"/>
      <c r="E879" s="97" t="n"/>
      <c r="F879" s="97" t="n"/>
      <c r="G879" s="97" t="n"/>
      <c r="H879" s="97" t="n"/>
      <c r="I879" s="97" t="n"/>
      <c r="J879" s="97" t="n"/>
      <c r="K879" s="97" t="n"/>
      <c r="L879" s="97" t="n"/>
      <c r="M879" s="97" t="n"/>
      <c r="N879" s="97" t="n"/>
      <c r="O879" s="97" t="n"/>
      <c r="P879" s="97" t="n"/>
    </row>
    <row r="880" ht="15.75" customHeight="1" s="105">
      <c r="B880" s="97" t="n"/>
      <c r="D880" s="97" t="n"/>
      <c r="E880" s="97" t="n"/>
      <c r="F880" s="97" t="n"/>
      <c r="G880" s="97" t="n"/>
      <c r="H880" s="97" t="n"/>
      <c r="I880" s="97" t="n"/>
      <c r="J880" s="97" t="n"/>
      <c r="K880" s="97" t="n"/>
      <c r="L880" s="97" t="n"/>
      <c r="M880" s="97" t="n"/>
      <c r="N880" s="97" t="n"/>
      <c r="O880" s="97" t="n"/>
      <c r="P880" s="97" t="n"/>
    </row>
    <row r="881" ht="15.75" customHeight="1" s="105">
      <c r="B881" s="97" t="n"/>
      <c r="D881" s="97" t="n"/>
      <c r="E881" s="97" t="n"/>
      <c r="F881" s="97" t="n"/>
      <c r="G881" s="97" t="n"/>
      <c r="H881" s="97" t="n"/>
      <c r="I881" s="97" t="n"/>
      <c r="J881" s="97" t="n"/>
      <c r="K881" s="97" t="n"/>
      <c r="L881" s="97" t="n"/>
      <c r="M881" s="97" t="n"/>
      <c r="N881" s="97" t="n"/>
      <c r="O881" s="97" t="n"/>
      <c r="P881" s="97" t="n"/>
    </row>
    <row r="882" ht="15.75" customHeight="1" s="105">
      <c r="B882" s="97" t="n"/>
      <c r="D882" s="97" t="n"/>
      <c r="E882" s="97" t="n"/>
      <c r="F882" s="97" t="n"/>
      <c r="G882" s="97" t="n"/>
      <c r="H882" s="97" t="n"/>
      <c r="I882" s="97" t="n"/>
      <c r="J882" s="97" t="n"/>
      <c r="K882" s="97" t="n"/>
      <c r="L882" s="97" t="n"/>
      <c r="M882" s="97" t="n"/>
      <c r="N882" s="97" t="n"/>
      <c r="O882" s="97" t="n"/>
      <c r="P882" s="97" t="n"/>
    </row>
    <row r="883" ht="15.75" customHeight="1" s="105">
      <c r="B883" s="97" t="n"/>
      <c r="D883" s="97" t="n"/>
      <c r="E883" s="97" t="n"/>
      <c r="F883" s="97" t="n"/>
      <c r="G883" s="97" t="n"/>
      <c r="H883" s="97" t="n"/>
      <c r="I883" s="97" t="n"/>
      <c r="J883" s="97" t="n"/>
      <c r="K883" s="97" t="n"/>
      <c r="L883" s="97" t="n"/>
      <c r="M883" s="97" t="n"/>
      <c r="N883" s="97" t="n"/>
      <c r="O883" s="97" t="n"/>
      <c r="P883" s="97" t="n"/>
    </row>
    <row r="884" ht="15.75" customHeight="1" s="105">
      <c r="B884" s="97" t="n"/>
      <c r="D884" s="97" t="n"/>
      <c r="E884" s="97" t="n"/>
      <c r="F884" s="97" t="n"/>
      <c r="G884" s="97" t="n"/>
      <c r="H884" s="97" t="n"/>
      <c r="I884" s="97" t="n"/>
      <c r="J884" s="97" t="n"/>
      <c r="K884" s="97" t="n"/>
      <c r="L884" s="97" t="n"/>
      <c r="M884" s="97" t="n"/>
      <c r="N884" s="97" t="n"/>
      <c r="O884" s="97" t="n"/>
      <c r="P884" s="97" t="n"/>
    </row>
    <row r="885" ht="15.75" customHeight="1" s="105">
      <c r="B885" s="97" t="n"/>
      <c r="D885" s="97" t="n"/>
      <c r="E885" s="97" t="n"/>
      <c r="F885" s="97" t="n"/>
      <c r="G885" s="97" t="n"/>
      <c r="H885" s="97" t="n"/>
      <c r="I885" s="97" t="n"/>
      <c r="J885" s="97" t="n"/>
      <c r="K885" s="97" t="n"/>
      <c r="L885" s="97" t="n"/>
      <c r="M885" s="97" t="n"/>
      <c r="N885" s="97" t="n"/>
      <c r="O885" s="97" t="n"/>
      <c r="P885" s="97" t="n"/>
    </row>
    <row r="886" ht="15.75" customHeight="1" s="105">
      <c r="B886" s="97" t="n"/>
      <c r="D886" s="97" t="n"/>
      <c r="E886" s="97" t="n"/>
      <c r="F886" s="97" t="n"/>
      <c r="G886" s="97" t="n"/>
      <c r="H886" s="97" t="n"/>
      <c r="I886" s="97" t="n"/>
      <c r="J886" s="97" t="n"/>
      <c r="K886" s="97" t="n"/>
      <c r="L886" s="97" t="n"/>
      <c r="M886" s="97" t="n"/>
      <c r="N886" s="97" t="n"/>
      <c r="O886" s="97" t="n"/>
      <c r="P886" s="97" t="n"/>
    </row>
    <row r="887" ht="15.75" customHeight="1" s="105">
      <c r="B887" s="97" t="n"/>
      <c r="D887" s="97" t="n"/>
      <c r="E887" s="97" t="n"/>
      <c r="F887" s="97" t="n"/>
      <c r="G887" s="97" t="n"/>
      <c r="H887" s="97" t="n"/>
      <c r="I887" s="97" t="n"/>
      <c r="J887" s="97" t="n"/>
      <c r="K887" s="97" t="n"/>
      <c r="L887" s="97" t="n"/>
      <c r="M887" s="97" t="n"/>
      <c r="N887" s="97" t="n"/>
      <c r="O887" s="97" t="n"/>
      <c r="P887" s="97" t="n"/>
    </row>
    <row r="888" ht="15.75" customHeight="1" s="105">
      <c r="B888" s="97" t="n"/>
      <c r="D888" s="97" t="n"/>
      <c r="E888" s="97" t="n"/>
      <c r="F888" s="97" t="n"/>
      <c r="G888" s="97" t="n"/>
      <c r="H888" s="97" t="n"/>
      <c r="I888" s="97" t="n"/>
      <c r="J888" s="97" t="n"/>
      <c r="K888" s="97" t="n"/>
      <c r="L888" s="97" t="n"/>
      <c r="M888" s="97" t="n"/>
      <c r="N888" s="97" t="n"/>
      <c r="O888" s="97" t="n"/>
      <c r="P888" s="97" t="n"/>
    </row>
    <row r="889" ht="15.75" customHeight="1" s="105">
      <c r="B889" s="97" t="n"/>
      <c r="D889" s="97" t="n"/>
      <c r="E889" s="97" t="n"/>
      <c r="F889" s="97" t="n"/>
      <c r="G889" s="97" t="n"/>
      <c r="H889" s="97" t="n"/>
      <c r="I889" s="97" t="n"/>
      <c r="J889" s="97" t="n"/>
      <c r="K889" s="97" t="n"/>
      <c r="L889" s="97" t="n"/>
      <c r="M889" s="97" t="n"/>
      <c r="N889" s="97" t="n"/>
      <c r="O889" s="97" t="n"/>
      <c r="P889" s="97" t="n"/>
    </row>
    <row r="890" ht="15.75" customHeight="1" s="105">
      <c r="B890" s="97" t="n"/>
      <c r="D890" s="97" t="n"/>
      <c r="E890" s="97" t="n"/>
      <c r="F890" s="97" t="n"/>
      <c r="G890" s="97" t="n"/>
      <c r="H890" s="97" t="n"/>
      <c r="I890" s="97" t="n"/>
      <c r="J890" s="97" t="n"/>
      <c r="K890" s="97" t="n"/>
      <c r="L890" s="97" t="n"/>
      <c r="M890" s="97" t="n"/>
      <c r="N890" s="97" t="n"/>
      <c r="O890" s="97" t="n"/>
      <c r="P890" s="97" t="n"/>
    </row>
    <row r="891" ht="15.75" customHeight="1" s="105">
      <c r="B891" s="97" t="n"/>
      <c r="D891" s="97" t="n"/>
      <c r="E891" s="97" t="n"/>
      <c r="F891" s="97" t="n"/>
      <c r="G891" s="97" t="n"/>
      <c r="H891" s="97" t="n"/>
      <c r="I891" s="97" t="n"/>
      <c r="J891" s="97" t="n"/>
      <c r="K891" s="97" t="n"/>
      <c r="L891" s="97" t="n"/>
      <c r="M891" s="97" t="n"/>
      <c r="N891" s="97" t="n"/>
      <c r="O891" s="97" t="n"/>
      <c r="P891" s="97" t="n"/>
    </row>
    <row r="892" ht="15.75" customHeight="1" s="105">
      <c r="B892" s="97" t="n"/>
      <c r="D892" s="97" t="n"/>
      <c r="E892" s="97" t="n"/>
      <c r="F892" s="97" t="n"/>
      <c r="G892" s="97" t="n"/>
      <c r="H892" s="97" t="n"/>
      <c r="I892" s="97" t="n"/>
      <c r="J892" s="97" t="n"/>
      <c r="K892" s="97" t="n"/>
      <c r="L892" s="97" t="n"/>
      <c r="M892" s="97" t="n"/>
      <c r="N892" s="97" t="n"/>
      <c r="O892" s="97" t="n"/>
      <c r="P892" s="97" t="n"/>
    </row>
    <row r="893" ht="15.75" customHeight="1" s="105">
      <c r="B893" s="97" t="n"/>
      <c r="D893" s="97" t="n"/>
      <c r="E893" s="97" t="n"/>
      <c r="F893" s="97" t="n"/>
      <c r="G893" s="97" t="n"/>
      <c r="H893" s="97" t="n"/>
      <c r="I893" s="97" t="n"/>
      <c r="J893" s="97" t="n"/>
      <c r="K893" s="97" t="n"/>
      <c r="L893" s="97" t="n"/>
      <c r="M893" s="97" t="n"/>
      <c r="N893" s="97" t="n"/>
      <c r="O893" s="97" t="n"/>
      <c r="P893" s="97" t="n"/>
    </row>
    <row r="894" ht="15.75" customHeight="1" s="105">
      <c r="B894" s="97" t="n"/>
      <c r="D894" s="97" t="n"/>
      <c r="E894" s="97" t="n"/>
      <c r="F894" s="97" t="n"/>
      <c r="G894" s="97" t="n"/>
      <c r="H894" s="97" t="n"/>
      <c r="I894" s="97" t="n"/>
      <c r="J894" s="97" t="n"/>
      <c r="K894" s="97" t="n"/>
      <c r="L894" s="97" t="n"/>
      <c r="M894" s="97" t="n"/>
      <c r="N894" s="97" t="n"/>
      <c r="O894" s="97" t="n"/>
      <c r="P894" s="97" t="n"/>
    </row>
    <row r="895" ht="15.75" customHeight="1" s="105">
      <c r="B895" s="97" t="n"/>
      <c r="D895" s="97" t="n"/>
      <c r="E895" s="97" t="n"/>
      <c r="F895" s="97" t="n"/>
      <c r="G895" s="97" t="n"/>
      <c r="H895" s="97" t="n"/>
      <c r="I895" s="97" t="n"/>
      <c r="J895" s="97" t="n"/>
      <c r="K895" s="97" t="n"/>
      <c r="L895" s="97" t="n"/>
      <c r="M895" s="97" t="n"/>
      <c r="N895" s="97" t="n"/>
      <c r="O895" s="97" t="n"/>
      <c r="P895" s="97" t="n"/>
    </row>
    <row r="896" ht="15.75" customHeight="1" s="105">
      <c r="B896" s="97" t="n"/>
      <c r="D896" s="97" t="n"/>
      <c r="E896" s="97" t="n"/>
      <c r="F896" s="97" t="n"/>
      <c r="G896" s="97" t="n"/>
      <c r="H896" s="97" t="n"/>
      <c r="I896" s="97" t="n"/>
      <c r="J896" s="97" t="n"/>
      <c r="K896" s="97" t="n"/>
      <c r="L896" s="97" t="n"/>
      <c r="M896" s="97" t="n"/>
      <c r="N896" s="97" t="n"/>
      <c r="O896" s="97" t="n"/>
      <c r="P896" s="97" t="n"/>
    </row>
    <row r="897" ht="15.75" customHeight="1" s="105">
      <c r="B897" s="97" t="n"/>
      <c r="D897" s="97" t="n"/>
      <c r="E897" s="97" t="n"/>
      <c r="F897" s="97" t="n"/>
      <c r="G897" s="97" t="n"/>
      <c r="H897" s="97" t="n"/>
      <c r="I897" s="97" t="n"/>
      <c r="J897" s="97" t="n"/>
      <c r="K897" s="97" t="n"/>
      <c r="L897" s="97" t="n"/>
      <c r="M897" s="97" t="n"/>
      <c r="N897" s="97" t="n"/>
      <c r="O897" s="97" t="n"/>
      <c r="P897" s="97" t="n"/>
    </row>
    <row r="898" ht="15.75" customHeight="1" s="105">
      <c r="B898" s="97" t="n"/>
      <c r="D898" s="97" t="n"/>
      <c r="E898" s="97" t="n"/>
      <c r="F898" s="97" t="n"/>
      <c r="G898" s="97" t="n"/>
      <c r="H898" s="97" t="n"/>
      <c r="I898" s="97" t="n"/>
      <c r="J898" s="97" t="n"/>
      <c r="K898" s="97" t="n"/>
      <c r="L898" s="97" t="n"/>
      <c r="M898" s="97" t="n"/>
      <c r="N898" s="97" t="n"/>
      <c r="O898" s="97" t="n"/>
      <c r="P898" s="97" t="n"/>
    </row>
    <row r="899" ht="15.75" customHeight="1" s="105">
      <c r="B899" s="97" t="n"/>
      <c r="D899" s="97" t="n"/>
      <c r="E899" s="97" t="n"/>
      <c r="F899" s="97" t="n"/>
      <c r="G899" s="97" t="n"/>
      <c r="H899" s="97" t="n"/>
      <c r="I899" s="97" t="n"/>
      <c r="J899" s="97" t="n"/>
      <c r="K899" s="97" t="n"/>
      <c r="L899" s="97" t="n"/>
      <c r="M899" s="97" t="n"/>
      <c r="N899" s="97" t="n"/>
      <c r="O899" s="97" t="n"/>
      <c r="P899" s="97" t="n"/>
    </row>
    <row r="900" ht="15.75" customHeight="1" s="105">
      <c r="B900" s="97" t="n"/>
      <c r="D900" s="97" t="n"/>
      <c r="E900" s="97" t="n"/>
      <c r="F900" s="97" t="n"/>
      <c r="G900" s="97" t="n"/>
      <c r="H900" s="97" t="n"/>
      <c r="I900" s="97" t="n"/>
      <c r="J900" s="97" t="n"/>
      <c r="K900" s="97" t="n"/>
      <c r="L900" s="97" t="n"/>
      <c r="M900" s="97" t="n"/>
      <c r="N900" s="97" t="n"/>
      <c r="O900" s="97" t="n"/>
      <c r="P900" s="97" t="n"/>
    </row>
    <row r="901" ht="15.75" customHeight="1" s="105">
      <c r="B901" s="97" t="n"/>
      <c r="D901" s="97" t="n"/>
      <c r="E901" s="97" t="n"/>
      <c r="F901" s="97" t="n"/>
      <c r="G901" s="97" t="n"/>
      <c r="H901" s="97" t="n"/>
      <c r="I901" s="97" t="n"/>
      <c r="J901" s="97" t="n"/>
      <c r="K901" s="97" t="n"/>
      <c r="L901" s="97" t="n"/>
      <c r="M901" s="97" t="n"/>
      <c r="N901" s="97" t="n"/>
      <c r="O901" s="97" t="n"/>
      <c r="P901" s="97" t="n"/>
    </row>
    <row r="902" ht="15.75" customHeight="1" s="105">
      <c r="B902" s="97" t="n"/>
      <c r="D902" s="97" t="n"/>
      <c r="E902" s="97" t="n"/>
      <c r="F902" s="97" t="n"/>
      <c r="G902" s="97" t="n"/>
      <c r="H902" s="97" t="n"/>
      <c r="I902" s="97" t="n"/>
      <c r="J902" s="97" t="n"/>
      <c r="K902" s="97" t="n"/>
      <c r="L902" s="97" t="n"/>
      <c r="M902" s="97" t="n"/>
      <c r="N902" s="97" t="n"/>
      <c r="O902" s="97" t="n"/>
      <c r="P902" s="97" t="n"/>
    </row>
    <row r="903" ht="15.75" customHeight="1" s="105">
      <c r="B903" s="97" t="n"/>
      <c r="D903" s="97" t="n"/>
      <c r="E903" s="97" t="n"/>
      <c r="F903" s="97" t="n"/>
      <c r="G903" s="97" t="n"/>
      <c r="H903" s="97" t="n"/>
      <c r="I903" s="97" t="n"/>
      <c r="J903" s="97" t="n"/>
      <c r="K903" s="97" t="n"/>
      <c r="L903" s="97" t="n"/>
      <c r="M903" s="97" t="n"/>
      <c r="N903" s="97" t="n"/>
      <c r="O903" s="97" t="n"/>
      <c r="P903" s="97" t="n"/>
    </row>
    <row r="904" ht="15.75" customHeight="1" s="105">
      <c r="B904" s="97" t="n"/>
      <c r="D904" s="97" t="n"/>
      <c r="E904" s="97" t="n"/>
      <c r="F904" s="97" t="n"/>
      <c r="G904" s="97" t="n"/>
      <c r="H904" s="97" t="n"/>
      <c r="I904" s="97" t="n"/>
      <c r="J904" s="97" t="n"/>
      <c r="K904" s="97" t="n"/>
      <c r="L904" s="97" t="n"/>
      <c r="M904" s="97" t="n"/>
      <c r="N904" s="97" t="n"/>
      <c r="O904" s="97" t="n"/>
      <c r="P904" s="97" t="n"/>
    </row>
    <row r="905" ht="15.75" customHeight="1" s="105">
      <c r="B905" s="97" t="n"/>
      <c r="D905" s="97" t="n"/>
      <c r="E905" s="97" t="n"/>
      <c r="F905" s="97" t="n"/>
      <c r="G905" s="97" t="n"/>
      <c r="H905" s="97" t="n"/>
      <c r="I905" s="97" t="n"/>
      <c r="J905" s="97" t="n"/>
      <c r="K905" s="97" t="n"/>
      <c r="L905" s="97" t="n"/>
      <c r="M905" s="97" t="n"/>
      <c r="N905" s="97" t="n"/>
      <c r="O905" s="97" t="n"/>
      <c r="P905" s="97" t="n"/>
    </row>
    <row r="906" ht="15.75" customHeight="1" s="105">
      <c r="B906" s="97" t="n"/>
      <c r="D906" s="97" t="n"/>
      <c r="E906" s="97" t="n"/>
      <c r="F906" s="97" t="n"/>
      <c r="G906" s="97" t="n"/>
      <c r="H906" s="97" t="n"/>
      <c r="I906" s="97" t="n"/>
      <c r="J906" s="97" t="n"/>
      <c r="K906" s="97" t="n"/>
      <c r="L906" s="97" t="n"/>
      <c r="M906" s="97" t="n"/>
      <c r="N906" s="97" t="n"/>
      <c r="O906" s="97" t="n"/>
      <c r="P906" s="97" t="n"/>
    </row>
    <row r="907" ht="15.75" customHeight="1" s="105">
      <c r="B907" s="97" t="n"/>
      <c r="D907" s="97" t="n"/>
      <c r="E907" s="97" t="n"/>
      <c r="F907" s="97" t="n"/>
      <c r="G907" s="97" t="n"/>
      <c r="H907" s="97" t="n"/>
      <c r="I907" s="97" t="n"/>
      <c r="J907" s="97" t="n"/>
      <c r="K907" s="97" t="n"/>
      <c r="L907" s="97" t="n"/>
      <c r="M907" s="97" t="n"/>
      <c r="N907" s="97" t="n"/>
      <c r="O907" s="97" t="n"/>
      <c r="P907" s="97" t="n"/>
    </row>
    <row r="908" ht="15.75" customHeight="1" s="105">
      <c r="B908" s="97" t="n"/>
      <c r="D908" s="97" t="n"/>
      <c r="E908" s="97" t="n"/>
      <c r="F908" s="97" t="n"/>
      <c r="G908" s="97" t="n"/>
      <c r="H908" s="97" t="n"/>
      <c r="I908" s="97" t="n"/>
      <c r="J908" s="97" t="n"/>
      <c r="K908" s="97" t="n"/>
      <c r="L908" s="97" t="n"/>
      <c r="M908" s="97" t="n"/>
      <c r="N908" s="97" t="n"/>
      <c r="O908" s="97" t="n"/>
      <c r="P908" s="97" t="n"/>
    </row>
    <row r="909" ht="15.75" customHeight="1" s="105">
      <c r="B909" s="97" t="n"/>
      <c r="D909" s="97" t="n"/>
      <c r="E909" s="97" t="n"/>
      <c r="F909" s="97" t="n"/>
      <c r="G909" s="97" t="n"/>
      <c r="H909" s="97" t="n"/>
      <c r="I909" s="97" t="n"/>
      <c r="J909" s="97" t="n"/>
      <c r="K909" s="97" t="n"/>
      <c r="L909" s="97" t="n"/>
      <c r="M909" s="97" t="n"/>
      <c r="N909" s="97" t="n"/>
      <c r="O909" s="97" t="n"/>
      <c r="P909" s="97" t="n"/>
    </row>
    <row r="910" ht="15.75" customHeight="1" s="105">
      <c r="B910" s="97" t="n"/>
      <c r="D910" s="97" t="n"/>
      <c r="E910" s="97" t="n"/>
      <c r="F910" s="97" t="n"/>
      <c r="G910" s="97" t="n"/>
      <c r="H910" s="97" t="n"/>
      <c r="I910" s="97" t="n"/>
      <c r="J910" s="97" t="n"/>
      <c r="K910" s="97" t="n"/>
      <c r="L910" s="97" t="n"/>
      <c r="M910" s="97" t="n"/>
      <c r="N910" s="97" t="n"/>
      <c r="O910" s="97" t="n"/>
      <c r="P910" s="97" t="n"/>
    </row>
    <row r="911" ht="15.75" customHeight="1" s="105">
      <c r="B911" s="97" t="n"/>
      <c r="D911" s="97" t="n"/>
      <c r="E911" s="97" t="n"/>
      <c r="F911" s="97" t="n"/>
      <c r="G911" s="97" t="n"/>
      <c r="H911" s="97" t="n"/>
      <c r="I911" s="97" t="n"/>
      <c r="J911" s="97" t="n"/>
      <c r="K911" s="97" t="n"/>
      <c r="L911" s="97" t="n"/>
      <c r="M911" s="97" t="n"/>
      <c r="N911" s="97" t="n"/>
      <c r="O911" s="97" t="n"/>
      <c r="P911" s="97" t="n"/>
    </row>
    <row r="912" ht="15.75" customHeight="1" s="105">
      <c r="B912" s="97" t="n"/>
      <c r="D912" s="97" t="n"/>
      <c r="E912" s="97" t="n"/>
      <c r="F912" s="97" t="n"/>
      <c r="G912" s="97" t="n"/>
      <c r="H912" s="97" t="n"/>
      <c r="I912" s="97" t="n"/>
      <c r="J912" s="97" t="n"/>
      <c r="K912" s="97" t="n"/>
      <c r="L912" s="97" t="n"/>
      <c r="M912" s="97" t="n"/>
      <c r="N912" s="97" t="n"/>
      <c r="O912" s="97" t="n"/>
      <c r="P912" s="97" t="n"/>
    </row>
    <row r="913" ht="15.75" customHeight="1" s="105">
      <c r="B913" s="97" t="n"/>
      <c r="D913" s="97" t="n"/>
      <c r="E913" s="97" t="n"/>
      <c r="F913" s="97" t="n"/>
      <c r="G913" s="97" t="n"/>
      <c r="H913" s="97" t="n"/>
      <c r="I913" s="97" t="n"/>
      <c r="J913" s="97" t="n"/>
      <c r="K913" s="97" t="n"/>
      <c r="L913" s="97" t="n"/>
      <c r="M913" s="97" t="n"/>
      <c r="N913" s="97" t="n"/>
      <c r="O913" s="97" t="n"/>
      <c r="P913" s="97" t="n"/>
    </row>
    <row r="914" ht="15.75" customHeight="1" s="105">
      <c r="B914" s="97" t="n"/>
      <c r="D914" s="97" t="n"/>
      <c r="E914" s="97" t="n"/>
      <c r="F914" s="97" t="n"/>
      <c r="G914" s="97" t="n"/>
      <c r="H914" s="97" t="n"/>
      <c r="I914" s="97" t="n"/>
      <c r="J914" s="97" t="n"/>
      <c r="K914" s="97" t="n"/>
      <c r="L914" s="97" t="n"/>
      <c r="M914" s="97" t="n"/>
      <c r="N914" s="97" t="n"/>
      <c r="O914" s="97" t="n"/>
      <c r="P914" s="97" t="n"/>
    </row>
    <row r="915" ht="15.75" customHeight="1" s="105">
      <c r="B915" s="97" t="n"/>
      <c r="D915" s="97" t="n"/>
      <c r="E915" s="97" t="n"/>
      <c r="F915" s="97" t="n"/>
      <c r="G915" s="97" t="n"/>
      <c r="H915" s="97" t="n"/>
      <c r="I915" s="97" t="n"/>
      <c r="J915" s="97" t="n"/>
      <c r="K915" s="97" t="n"/>
      <c r="L915" s="97" t="n"/>
      <c r="M915" s="97" t="n"/>
      <c r="N915" s="97" t="n"/>
      <c r="O915" s="97" t="n"/>
      <c r="P915" s="97" t="n"/>
    </row>
    <row r="916" ht="15.75" customHeight="1" s="105">
      <c r="B916" s="97" t="n"/>
      <c r="D916" s="97" t="n"/>
      <c r="E916" s="97" t="n"/>
      <c r="F916" s="97" t="n"/>
      <c r="G916" s="97" t="n"/>
      <c r="H916" s="97" t="n"/>
      <c r="I916" s="97" t="n"/>
      <c r="J916" s="97" t="n"/>
      <c r="K916" s="97" t="n"/>
      <c r="L916" s="97" t="n"/>
      <c r="M916" s="97" t="n"/>
      <c r="N916" s="97" t="n"/>
      <c r="O916" s="97" t="n"/>
      <c r="P916" s="97" t="n"/>
    </row>
    <row r="917" ht="15.75" customHeight="1" s="105">
      <c r="B917" s="97" t="n"/>
      <c r="D917" s="97" t="n"/>
      <c r="E917" s="97" t="n"/>
      <c r="F917" s="97" t="n"/>
      <c r="G917" s="97" t="n"/>
      <c r="H917" s="97" t="n"/>
      <c r="I917" s="97" t="n"/>
      <c r="J917" s="97" t="n"/>
      <c r="K917" s="97" t="n"/>
      <c r="L917" s="97" t="n"/>
      <c r="M917" s="97" t="n"/>
      <c r="N917" s="97" t="n"/>
      <c r="O917" s="97" t="n"/>
      <c r="P917" s="97" t="n"/>
    </row>
    <row r="918" ht="15.75" customHeight="1" s="105">
      <c r="B918" s="97" t="n"/>
      <c r="D918" s="97" t="n"/>
      <c r="E918" s="97" t="n"/>
      <c r="F918" s="97" t="n"/>
      <c r="G918" s="97" t="n"/>
      <c r="H918" s="97" t="n"/>
      <c r="I918" s="97" t="n"/>
      <c r="J918" s="97" t="n"/>
      <c r="K918" s="97" t="n"/>
      <c r="L918" s="97" t="n"/>
      <c r="M918" s="97" t="n"/>
      <c r="N918" s="97" t="n"/>
      <c r="O918" s="97" t="n"/>
      <c r="P918" s="97" t="n"/>
    </row>
    <row r="919" ht="15.75" customHeight="1" s="105">
      <c r="B919" s="97" t="n"/>
      <c r="D919" s="97" t="n"/>
      <c r="E919" s="97" t="n"/>
      <c r="F919" s="97" t="n"/>
      <c r="G919" s="97" t="n"/>
      <c r="H919" s="97" t="n"/>
      <c r="I919" s="97" t="n"/>
      <c r="J919" s="97" t="n"/>
      <c r="K919" s="97" t="n"/>
      <c r="L919" s="97" t="n"/>
      <c r="M919" s="97" t="n"/>
      <c r="N919" s="97" t="n"/>
      <c r="O919" s="97" t="n"/>
      <c r="P919" s="97" t="n"/>
    </row>
    <row r="920" ht="15.75" customHeight="1" s="105">
      <c r="B920" s="97" t="n"/>
      <c r="D920" s="97" t="n"/>
      <c r="E920" s="97" t="n"/>
      <c r="F920" s="97" t="n"/>
      <c r="G920" s="97" t="n"/>
      <c r="H920" s="97" t="n"/>
      <c r="I920" s="97" t="n"/>
      <c r="J920" s="97" t="n"/>
      <c r="K920" s="97" t="n"/>
      <c r="L920" s="97" t="n"/>
      <c r="M920" s="97" t="n"/>
      <c r="N920" s="97" t="n"/>
      <c r="O920" s="97" t="n"/>
      <c r="P920" s="97" t="n"/>
    </row>
    <row r="921" ht="15.75" customHeight="1" s="105">
      <c r="B921" s="97" t="n"/>
      <c r="D921" s="97" t="n"/>
      <c r="E921" s="97" t="n"/>
      <c r="F921" s="97" t="n"/>
      <c r="G921" s="97" t="n"/>
      <c r="H921" s="97" t="n"/>
      <c r="I921" s="97" t="n"/>
      <c r="J921" s="97" t="n"/>
      <c r="K921" s="97" t="n"/>
      <c r="L921" s="97" t="n"/>
      <c r="M921" s="97" t="n"/>
      <c r="N921" s="97" t="n"/>
      <c r="O921" s="97" t="n"/>
      <c r="P921" s="97" t="n"/>
    </row>
    <row r="922" ht="15.75" customHeight="1" s="105">
      <c r="B922" s="97" t="n"/>
      <c r="D922" s="97" t="n"/>
      <c r="E922" s="97" t="n"/>
      <c r="F922" s="97" t="n"/>
      <c r="G922" s="97" t="n"/>
      <c r="H922" s="97" t="n"/>
      <c r="I922" s="97" t="n"/>
      <c r="J922" s="97" t="n"/>
      <c r="K922" s="97" t="n"/>
      <c r="L922" s="97" t="n"/>
      <c r="M922" s="97" t="n"/>
      <c r="N922" s="97" t="n"/>
      <c r="O922" s="97" t="n"/>
      <c r="P922" s="97" t="n"/>
    </row>
    <row r="923" ht="15.75" customHeight="1" s="105">
      <c r="B923" s="97" t="n"/>
      <c r="D923" s="97" t="n"/>
      <c r="E923" s="97" t="n"/>
      <c r="F923" s="97" t="n"/>
      <c r="G923" s="97" t="n"/>
      <c r="H923" s="97" t="n"/>
      <c r="I923" s="97" t="n"/>
      <c r="J923" s="97" t="n"/>
      <c r="K923" s="97" t="n"/>
      <c r="L923" s="97" t="n"/>
      <c r="M923" s="97" t="n"/>
      <c r="N923" s="97" t="n"/>
      <c r="O923" s="97" t="n"/>
      <c r="P923" s="97" t="n"/>
    </row>
    <row r="924" ht="15.75" customHeight="1" s="105">
      <c r="B924" s="97" t="n"/>
      <c r="D924" s="97" t="n"/>
      <c r="E924" s="97" t="n"/>
      <c r="F924" s="97" t="n"/>
      <c r="G924" s="97" t="n"/>
      <c r="H924" s="97" t="n"/>
      <c r="I924" s="97" t="n"/>
      <c r="J924" s="97" t="n"/>
      <c r="K924" s="97" t="n"/>
      <c r="L924" s="97" t="n"/>
      <c r="M924" s="97" t="n"/>
      <c r="N924" s="97" t="n"/>
      <c r="O924" s="97" t="n"/>
      <c r="P924" s="97" t="n"/>
    </row>
    <row r="925" ht="15.75" customHeight="1" s="105">
      <c r="B925" s="97" t="n"/>
      <c r="D925" s="97" t="n"/>
      <c r="E925" s="97" t="n"/>
      <c r="F925" s="97" t="n"/>
      <c r="G925" s="97" t="n"/>
      <c r="H925" s="97" t="n"/>
      <c r="I925" s="97" t="n"/>
      <c r="J925" s="97" t="n"/>
      <c r="K925" s="97" t="n"/>
      <c r="L925" s="97" t="n"/>
      <c r="M925" s="97" t="n"/>
      <c r="N925" s="97" t="n"/>
      <c r="O925" s="97" t="n"/>
      <c r="P925" s="97" t="n"/>
    </row>
    <row r="926" ht="15.75" customHeight="1" s="105">
      <c r="B926" s="97" t="n"/>
      <c r="D926" s="97" t="n"/>
      <c r="E926" s="97" t="n"/>
      <c r="F926" s="97" t="n"/>
      <c r="G926" s="97" t="n"/>
      <c r="H926" s="97" t="n"/>
      <c r="I926" s="97" t="n"/>
      <c r="J926" s="97" t="n"/>
      <c r="K926" s="97" t="n"/>
      <c r="L926" s="97" t="n"/>
      <c r="M926" s="97" t="n"/>
      <c r="N926" s="97" t="n"/>
      <c r="O926" s="97" t="n"/>
      <c r="P926" s="97" t="n"/>
    </row>
    <row r="927" ht="15.75" customHeight="1" s="105">
      <c r="B927" s="97" t="n"/>
      <c r="D927" s="97" t="n"/>
      <c r="E927" s="97" t="n"/>
      <c r="F927" s="97" t="n"/>
      <c r="G927" s="97" t="n"/>
      <c r="H927" s="97" t="n"/>
      <c r="I927" s="97" t="n"/>
      <c r="J927" s="97" t="n"/>
      <c r="K927" s="97" t="n"/>
      <c r="L927" s="97" t="n"/>
      <c r="M927" s="97" t="n"/>
      <c r="N927" s="97" t="n"/>
      <c r="O927" s="97" t="n"/>
      <c r="P927" s="97" t="n"/>
    </row>
    <row r="928" ht="15.75" customHeight="1" s="105">
      <c r="B928" s="97" t="n"/>
      <c r="D928" s="97" t="n"/>
      <c r="E928" s="97" t="n"/>
      <c r="F928" s="97" t="n"/>
      <c r="G928" s="97" t="n"/>
      <c r="H928" s="97" t="n"/>
      <c r="I928" s="97" t="n"/>
      <c r="J928" s="97" t="n"/>
      <c r="K928" s="97" t="n"/>
      <c r="L928" s="97" t="n"/>
      <c r="M928" s="97" t="n"/>
      <c r="N928" s="97" t="n"/>
      <c r="O928" s="97" t="n"/>
      <c r="P928" s="97" t="n"/>
    </row>
    <row r="929" ht="15.75" customHeight="1" s="105">
      <c r="B929" s="97" t="n"/>
      <c r="D929" s="97" t="n"/>
      <c r="E929" s="97" t="n"/>
      <c r="F929" s="97" t="n"/>
      <c r="G929" s="97" t="n"/>
      <c r="H929" s="97" t="n"/>
      <c r="I929" s="97" t="n"/>
      <c r="J929" s="97" t="n"/>
      <c r="K929" s="97" t="n"/>
      <c r="L929" s="97" t="n"/>
      <c r="M929" s="97" t="n"/>
      <c r="N929" s="97" t="n"/>
      <c r="O929" s="97" t="n"/>
      <c r="P929" s="97" t="n"/>
    </row>
    <row r="930" ht="15.75" customHeight="1" s="105">
      <c r="B930" s="97" t="n"/>
      <c r="D930" s="97" t="n"/>
      <c r="E930" s="97" t="n"/>
      <c r="F930" s="97" t="n"/>
      <c r="G930" s="97" t="n"/>
      <c r="H930" s="97" t="n"/>
      <c r="I930" s="97" t="n"/>
      <c r="J930" s="97" t="n"/>
      <c r="K930" s="97" t="n"/>
      <c r="L930" s="97" t="n"/>
      <c r="M930" s="97" t="n"/>
      <c r="N930" s="97" t="n"/>
      <c r="O930" s="97" t="n"/>
      <c r="P930" s="97" t="n"/>
    </row>
    <row r="931" ht="15.75" customHeight="1" s="105">
      <c r="B931" s="97" t="n"/>
      <c r="D931" s="97" t="n"/>
      <c r="E931" s="97" t="n"/>
      <c r="F931" s="97" t="n"/>
      <c r="G931" s="97" t="n"/>
      <c r="H931" s="97" t="n"/>
      <c r="I931" s="97" t="n"/>
      <c r="J931" s="97" t="n"/>
      <c r="K931" s="97" t="n"/>
      <c r="L931" s="97" t="n"/>
      <c r="M931" s="97" t="n"/>
      <c r="N931" s="97" t="n"/>
      <c r="O931" s="97" t="n"/>
      <c r="P931" s="97" t="n"/>
    </row>
    <row r="932" ht="15.75" customHeight="1" s="105">
      <c r="B932" s="97" t="n"/>
      <c r="D932" s="97" t="n"/>
      <c r="E932" s="97" t="n"/>
      <c r="F932" s="97" t="n"/>
      <c r="G932" s="97" t="n"/>
      <c r="H932" s="97" t="n"/>
      <c r="I932" s="97" t="n"/>
      <c r="J932" s="97" t="n"/>
      <c r="K932" s="97" t="n"/>
      <c r="L932" s="97" t="n"/>
      <c r="M932" s="97" t="n"/>
      <c r="N932" s="97" t="n"/>
      <c r="O932" s="97" t="n"/>
      <c r="P932" s="97" t="n"/>
    </row>
    <row r="933" ht="15.75" customHeight="1" s="105">
      <c r="B933" s="97" t="n"/>
      <c r="D933" s="97" t="n"/>
      <c r="E933" s="97" t="n"/>
      <c r="F933" s="97" t="n"/>
      <c r="G933" s="97" t="n"/>
      <c r="H933" s="97" t="n"/>
      <c r="I933" s="97" t="n"/>
      <c r="J933" s="97" t="n"/>
      <c r="K933" s="97" t="n"/>
      <c r="L933" s="97" t="n"/>
      <c r="M933" s="97" t="n"/>
      <c r="N933" s="97" t="n"/>
      <c r="O933" s="97" t="n"/>
      <c r="P933" s="97" t="n"/>
    </row>
    <row r="934" ht="15.75" customHeight="1" s="105">
      <c r="B934" s="97" t="n"/>
      <c r="D934" s="97" t="n"/>
      <c r="E934" s="97" t="n"/>
      <c r="F934" s="97" t="n"/>
      <c r="G934" s="97" t="n"/>
      <c r="H934" s="97" t="n"/>
      <c r="I934" s="97" t="n"/>
      <c r="J934" s="97" t="n"/>
      <c r="K934" s="97" t="n"/>
      <c r="L934" s="97" t="n"/>
      <c r="M934" s="97" t="n"/>
      <c r="N934" s="97" t="n"/>
      <c r="O934" s="97" t="n"/>
      <c r="P934" s="97" t="n"/>
    </row>
    <row r="935" ht="15.75" customHeight="1" s="105">
      <c r="B935" s="97" t="n"/>
      <c r="D935" s="97" t="n"/>
      <c r="E935" s="97" t="n"/>
      <c r="F935" s="97" t="n"/>
      <c r="G935" s="97" t="n"/>
      <c r="H935" s="97" t="n"/>
      <c r="I935" s="97" t="n"/>
      <c r="J935" s="97" t="n"/>
      <c r="K935" s="97" t="n"/>
      <c r="L935" s="97" t="n"/>
      <c r="M935" s="97" t="n"/>
      <c r="N935" s="97" t="n"/>
      <c r="O935" s="97" t="n"/>
      <c r="P935" s="97" t="n"/>
    </row>
    <row r="936" ht="15.75" customHeight="1" s="105">
      <c r="B936" s="97" t="n"/>
      <c r="D936" s="97" t="n"/>
      <c r="E936" s="97" t="n"/>
      <c r="F936" s="97" t="n"/>
      <c r="G936" s="97" t="n"/>
      <c r="H936" s="97" t="n"/>
      <c r="I936" s="97" t="n"/>
      <c r="J936" s="97" t="n"/>
      <c r="K936" s="97" t="n"/>
      <c r="L936" s="97" t="n"/>
      <c r="M936" s="97" t="n"/>
      <c r="N936" s="97" t="n"/>
      <c r="O936" s="97" t="n"/>
      <c r="P936" s="97" t="n"/>
    </row>
    <row r="937" ht="15.75" customHeight="1" s="105">
      <c r="B937" s="97" t="n"/>
      <c r="D937" s="97" t="n"/>
      <c r="E937" s="97" t="n"/>
      <c r="F937" s="97" t="n"/>
      <c r="G937" s="97" t="n"/>
      <c r="H937" s="97" t="n"/>
      <c r="I937" s="97" t="n"/>
      <c r="J937" s="97" t="n"/>
      <c r="K937" s="97" t="n"/>
      <c r="L937" s="97" t="n"/>
      <c r="M937" s="97" t="n"/>
      <c r="N937" s="97" t="n"/>
      <c r="O937" s="97" t="n"/>
      <c r="P937" s="97" t="n"/>
    </row>
    <row r="938" ht="15.75" customHeight="1" s="105">
      <c r="B938" s="97" t="n"/>
      <c r="D938" s="97" t="n"/>
      <c r="E938" s="97" t="n"/>
      <c r="F938" s="97" t="n"/>
      <c r="G938" s="97" t="n"/>
      <c r="H938" s="97" t="n"/>
      <c r="I938" s="97" t="n"/>
      <c r="J938" s="97" t="n"/>
      <c r="K938" s="97" t="n"/>
      <c r="L938" s="97" t="n"/>
      <c r="M938" s="97" t="n"/>
      <c r="N938" s="97" t="n"/>
      <c r="O938" s="97" t="n"/>
      <c r="P938" s="97" t="n"/>
    </row>
    <row r="939" ht="15.75" customHeight="1" s="105">
      <c r="B939" s="97" t="n"/>
      <c r="D939" s="97" t="n"/>
      <c r="E939" s="97" t="n"/>
      <c r="F939" s="97" t="n"/>
      <c r="G939" s="97" t="n"/>
      <c r="H939" s="97" t="n"/>
      <c r="I939" s="97" t="n"/>
      <c r="J939" s="97" t="n"/>
      <c r="K939" s="97" t="n"/>
      <c r="L939" s="97" t="n"/>
      <c r="M939" s="97" t="n"/>
      <c r="N939" s="97" t="n"/>
      <c r="O939" s="97" t="n"/>
      <c r="P939" s="97" t="n"/>
    </row>
    <row r="940" ht="15.75" customHeight="1" s="105">
      <c r="B940" s="97" t="n"/>
      <c r="D940" s="97" t="n"/>
      <c r="E940" s="97" t="n"/>
      <c r="F940" s="97" t="n"/>
      <c r="G940" s="97" t="n"/>
      <c r="H940" s="97" t="n"/>
      <c r="I940" s="97" t="n"/>
      <c r="J940" s="97" t="n"/>
      <c r="K940" s="97" t="n"/>
      <c r="L940" s="97" t="n"/>
      <c r="M940" s="97" t="n"/>
      <c r="N940" s="97" t="n"/>
      <c r="O940" s="97" t="n"/>
      <c r="P940" s="97" t="n"/>
    </row>
    <row r="941" ht="15.75" customHeight="1" s="105">
      <c r="B941" s="97" t="n"/>
      <c r="D941" s="97" t="n"/>
      <c r="E941" s="97" t="n"/>
      <c r="F941" s="97" t="n"/>
      <c r="G941" s="97" t="n"/>
      <c r="H941" s="97" t="n"/>
      <c r="I941" s="97" t="n"/>
      <c r="J941" s="97" t="n"/>
      <c r="K941" s="97" t="n"/>
      <c r="L941" s="97" t="n"/>
      <c r="M941" s="97" t="n"/>
      <c r="N941" s="97" t="n"/>
      <c r="O941" s="97" t="n"/>
      <c r="P941" s="97" t="n"/>
    </row>
    <row r="942" ht="15.75" customHeight="1" s="105">
      <c r="B942" s="97" t="n"/>
      <c r="D942" s="97" t="n"/>
      <c r="E942" s="97" t="n"/>
      <c r="F942" s="97" t="n"/>
      <c r="G942" s="97" t="n"/>
      <c r="H942" s="97" t="n"/>
      <c r="I942" s="97" t="n"/>
      <c r="J942" s="97" t="n"/>
      <c r="K942" s="97" t="n"/>
      <c r="L942" s="97" t="n"/>
      <c r="M942" s="97" t="n"/>
      <c r="N942" s="97" t="n"/>
      <c r="O942" s="97" t="n"/>
      <c r="P942" s="97" t="n"/>
    </row>
    <row r="943" ht="15.75" customHeight="1" s="105">
      <c r="B943" s="97" t="n"/>
      <c r="D943" s="97" t="n"/>
      <c r="E943" s="97" t="n"/>
      <c r="F943" s="97" t="n"/>
      <c r="G943" s="97" t="n"/>
      <c r="H943" s="97" t="n"/>
      <c r="I943" s="97" t="n"/>
      <c r="J943" s="97" t="n"/>
      <c r="K943" s="97" t="n"/>
      <c r="L943" s="97" t="n"/>
      <c r="M943" s="97" t="n"/>
      <c r="N943" s="97" t="n"/>
      <c r="O943" s="97" t="n"/>
      <c r="P943" s="97" t="n"/>
    </row>
    <row r="944" ht="15.75" customHeight="1" s="105">
      <c r="B944" s="97" t="n"/>
      <c r="D944" s="97" t="n"/>
      <c r="E944" s="97" t="n"/>
      <c r="F944" s="97" t="n"/>
      <c r="G944" s="97" t="n"/>
      <c r="H944" s="97" t="n"/>
      <c r="I944" s="97" t="n"/>
      <c r="J944" s="97" t="n"/>
      <c r="K944" s="97" t="n"/>
      <c r="L944" s="97" t="n"/>
      <c r="M944" s="97" t="n"/>
      <c r="N944" s="97" t="n"/>
      <c r="O944" s="97" t="n"/>
      <c r="P944" s="97" t="n"/>
    </row>
    <row r="945" ht="15.75" customHeight="1" s="105">
      <c r="B945" s="97" t="n"/>
      <c r="D945" s="97" t="n"/>
      <c r="E945" s="97" t="n"/>
      <c r="F945" s="97" t="n"/>
      <c r="G945" s="97" t="n"/>
      <c r="H945" s="97" t="n"/>
      <c r="I945" s="97" t="n"/>
      <c r="J945" s="97" t="n"/>
      <c r="K945" s="97" t="n"/>
      <c r="L945" s="97" t="n"/>
      <c r="M945" s="97" t="n"/>
      <c r="N945" s="97" t="n"/>
      <c r="O945" s="97" t="n"/>
      <c r="P945" s="97" t="n"/>
    </row>
    <row r="946" ht="15.75" customHeight="1" s="105">
      <c r="B946" s="97" t="n"/>
      <c r="D946" s="97" t="n"/>
      <c r="E946" s="97" t="n"/>
      <c r="F946" s="97" t="n"/>
      <c r="G946" s="97" t="n"/>
      <c r="H946" s="97" t="n"/>
      <c r="I946" s="97" t="n"/>
      <c r="J946" s="97" t="n"/>
      <c r="K946" s="97" t="n"/>
      <c r="L946" s="97" t="n"/>
      <c r="M946" s="97" t="n"/>
      <c r="N946" s="97" t="n"/>
      <c r="O946" s="97" t="n"/>
      <c r="P946" s="97" t="n"/>
    </row>
    <row r="947" ht="15.75" customHeight="1" s="105">
      <c r="B947" s="97" t="n"/>
      <c r="D947" s="97" t="n"/>
      <c r="E947" s="97" t="n"/>
      <c r="F947" s="97" t="n"/>
      <c r="G947" s="97" t="n"/>
      <c r="H947" s="97" t="n"/>
      <c r="I947" s="97" t="n"/>
      <c r="J947" s="97" t="n"/>
      <c r="K947" s="97" t="n"/>
      <c r="L947" s="97" t="n"/>
      <c r="M947" s="97" t="n"/>
      <c r="N947" s="97" t="n"/>
      <c r="O947" s="97" t="n"/>
      <c r="P947" s="97" t="n"/>
    </row>
    <row r="948" ht="15.75" customHeight="1" s="105">
      <c r="B948" s="97" t="n"/>
      <c r="D948" s="97" t="n"/>
      <c r="E948" s="97" t="n"/>
      <c r="F948" s="97" t="n"/>
      <c r="G948" s="97" t="n"/>
      <c r="H948" s="97" t="n"/>
      <c r="I948" s="97" t="n"/>
      <c r="J948" s="97" t="n"/>
      <c r="K948" s="97" t="n"/>
      <c r="L948" s="97" t="n"/>
      <c r="M948" s="97" t="n"/>
      <c r="N948" s="97" t="n"/>
      <c r="O948" s="97" t="n"/>
      <c r="P948" s="97" t="n"/>
    </row>
    <row r="949" ht="15.75" customHeight="1" s="105">
      <c r="B949" s="97" t="n"/>
      <c r="D949" s="97" t="n"/>
      <c r="E949" s="97" t="n"/>
      <c r="F949" s="97" t="n"/>
      <c r="G949" s="97" t="n"/>
      <c r="H949" s="97" t="n"/>
      <c r="I949" s="97" t="n"/>
      <c r="J949" s="97" t="n"/>
      <c r="K949" s="97" t="n"/>
      <c r="L949" s="97" t="n"/>
      <c r="M949" s="97" t="n"/>
      <c r="N949" s="97" t="n"/>
      <c r="O949" s="97" t="n"/>
      <c r="P949" s="97" t="n"/>
    </row>
    <row r="950" ht="15.75" customHeight="1" s="105">
      <c r="B950" s="97" t="n"/>
      <c r="D950" s="97" t="n"/>
      <c r="E950" s="97" t="n"/>
      <c r="F950" s="97" t="n"/>
      <c r="G950" s="97" t="n"/>
      <c r="H950" s="97" t="n"/>
      <c r="I950" s="97" t="n"/>
      <c r="J950" s="97" t="n"/>
      <c r="K950" s="97" t="n"/>
      <c r="L950" s="97" t="n"/>
      <c r="M950" s="97" t="n"/>
      <c r="N950" s="97" t="n"/>
      <c r="O950" s="97" t="n"/>
      <c r="P950" s="97" t="n"/>
    </row>
    <row r="951" ht="15.75" customHeight="1" s="105">
      <c r="B951" s="97" t="n"/>
      <c r="D951" s="97" t="n"/>
      <c r="E951" s="97" t="n"/>
      <c r="F951" s="97" t="n"/>
      <c r="G951" s="97" t="n"/>
      <c r="H951" s="97" t="n"/>
      <c r="I951" s="97" t="n"/>
      <c r="J951" s="97" t="n"/>
      <c r="K951" s="97" t="n"/>
      <c r="L951" s="97" t="n"/>
      <c r="M951" s="97" t="n"/>
      <c r="N951" s="97" t="n"/>
      <c r="O951" s="97" t="n"/>
      <c r="P951" s="97" t="n"/>
    </row>
    <row r="952" ht="15.75" customHeight="1" s="105">
      <c r="B952" s="97" t="n"/>
      <c r="D952" s="97" t="n"/>
      <c r="E952" s="97" t="n"/>
      <c r="F952" s="97" t="n"/>
      <c r="G952" s="97" t="n"/>
      <c r="H952" s="97" t="n"/>
      <c r="I952" s="97" t="n"/>
      <c r="J952" s="97" t="n"/>
      <c r="K952" s="97" t="n"/>
      <c r="L952" s="97" t="n"/>
      <c r="M952" s="97" t="n"/>
      <c r="N952" s="97" t="n"/>
      <c r="O952" s="97" t="n"/>
      <c r="P952" s="97" t="n"/>
    </row>
    <row r="953" ht="15.75" customHeight="1" s="105">
      <c r="B953" s="97" t="n"/>
      <c r="D953" s="97" t="n"/>
      <c r="E953" s="97" t="n"/>
      <c r="F953" s="97" t="n"/>
      <c r="G953" s="97" t="n"/>
      <c r="H953" s="97" t="n"/>
      <c r="I953" s="97" t="n"/>
      <c r="J953" s="97" t="n"/>
      <c r="K953" s="97" t="n"/>
      <c r="L953" s="97" t="n"/>
      <c r="M953" s="97" t="n"/>
      <c r="N953" s="97" t="n"/>
      <c r="O953" s="97" t="n"/>
      <c r="P953" s="97" t="n"/>
    </row>
    <row r="954" ht="15.75" customHeight="1" s="105">
      <c r="B954" s="97" t="n"/>
      <c r="D954" s="97" t="n"/>
      <c r="E954" s="97" t="n"/>
      <c r="F954" s="97" t="n"/>
      <c r="G954" s="97" t="n"/>
      <c r="H954" s="97" t="n"/>
      <c r="I954" s="97" t="n"/>
      <c r="J954" s="97" t="n"/>
      <c r="K954" s="97" t="n"/>
      <c r="L954" s="97" t="n"/>
      <c r="M954" s="97" t="n"/>
      <c r="N954" s="97" t="n"/>
      <c r="O954" s="97" t="n"/>
      <c r="P954" s="97" t="n"/>
    </row>
    <row r="955" ht="15.75" customHeight="1" s="105">
      <c r="B955" s="97" t="n"/>
      <c r="D955" s="97" t="n"/>
      <c r="E955" s="97" t="n"/>
      <c r="F955" s="97" t="n"/>
      <c r="G955" s="97" t="n"/>
      <c r="H955" s="97" t="n"/>
      <c r="I955" s="97" t="n"/>
      <c r="J955" s="97" t="n"/>
      <c r="K955" s="97" t="n"/>
      <c r="L955" s="97" t="n"/>
      <c r="M955" s="97" t="n"/>
      <c r="N955" s="97" t="n"/>
      <c r="O955" s="97" t="n"/>
      <c r="P955" s="97" t="n"/>
    </row>
    <row r="956" ht="15.75" customHeight="1" s="105">
      <c r="B956" s="97" t="n"/>
      <c r="D956" s="97" t="n"/>
      <c r="E956" s="97" t="n"/>
      <c r="F956" s="97" t="n"/>
      <c r="G956" s="97" t="n"/>
      <c r="H956" s="97" t="n"/>
      <c r="I956" s="97" t="n"/>
      <c r="J956" s="97" t="n"/>
      <c r="K956" s="97" t="n"/>
      <c r="L956" s="97" t="n"/>
      <c r="M956" s="97" t="n"/>
      <c r="N956" s="97" t="n"/>
      <c r="O956" s="97" t="n"/>
      <c r="P956" s="97" t="n"/>
    </row>
    <row r="957" ht="15.75" customHeight="1" s="105">
      <c r="B957" s="97" t="n"/>
      <c r="D957" s="97" t="n"/>
      <c r="E957" s="97" t="n"/>
      <c r="F957" s="97" t="n"/>
      <c r="G957" s="97" t="n"/>
      <c r="H957" s="97" t="n"/>
      <c r="I957" s="97" t="n"/>
      <c r="J957" s="97" t="n"/>
      <c r="K957" s="97" t="n"/>
      <c r="L957" s="97" t="n"/>
      <c r="M957" s="97" t="n"/>
      <c r="N957" s="97" t="n"/>
      <c r="O957" s="97" t="n"/>
      <c r="P957" s="97" t="n"/>
    </row>
    <row r="958" ht="15.75" customHeight="1" s="105">
      <c r="B958" s="97" t="n"/>
      <c r="D958" s="97" t="n"/>
      <c r="E958" s="97" t="n"/>
      <c r="F958" s="97" t="n"/>
      <c r="G958" s="97" t="n"/>
      <c r="H958" s="97" t="n"/>
      <c r="I958" s="97" t="n"/>
      <c r="J958" s="97" t="n"/>
      <c r="K958" s="97" t="n"/>
      <c r="L958" s="97" t="n"/>
      <c r="M958" s="97" t="n"/>
      <c r="N958" s="97" t="n"/>
      <c r="O958" s="97" t="n"/>
      <c r="P958" s="97" t="n"/>
    </row>
    <row r="959" ht="15.75" customHeight="1" s="105">
      <c r="B959" s="97" t="n"/>
      <c r="D959" s="97" t="n"/>
      <c r="E959" s="97" t="n"/>
      <c r="F959" s="97" t="n"/>
      <c r="G959" s="97" t="n"/>
      <c r="H959" s="97" t="n"/>
      <c r="I959" s="97" t="n"/>
      <c r="J959" s="97" t="n"/>
      <c r="K959" s="97" t="n"/>
      <c r="L959" s="97" t="n"/>
      <c r="M959" s="97" t="n"/>
      <c r="N959" s="97" t="n"/>
      <c r="O959" s="97" t="n"/>
      <c r="P959" s="97" t="n"/>
    </row>
    <row r="960" ht="15.75" customHeight="1" s="105">
      <c r="B960" s="97" t="n"/>
      <c r="D960" s="97" t="n"/>
      <c r="E960" s="97" t="n"/>
      <c r="F960" s="97" t="n"/>
      <c r="G960" s="97" t="n"/>
      <c r="H960" s="97" t="n"/>
      <c r="I960" s="97" t="n"/>
      <c r="J960" s="97" t="n"/>
      <c r="K960" s="97" t="n"/>
      <c r="L960" s="97" t="n"/>
      <c r="M960" s="97" t="n"/>
      <c r="N960" s="97" t="n"/>
      <c r="O960" s="97" t="n"/>
      <c r="P960" s="97" t="n"/>
    </row>
    <row r="961" ht="15.75" customHeight="1" s="105">
      <c r="B961" s="97" t="n"/>
      <c r="D961" s="97" t="n"/>
      <c r="E961" s="97" t="n"/>
      <c r="F961" s="97" t="n"/>
      <c r="G961" s="97" t="n"/>
      <c r="H961" s="97" t="n"/>
      <c r="I961" s="97" t="n"/>
      <c r="J961" s="97" t="n"/>
      <c r="K961" s="97" t="n"/>
      <c r="L961" s="97" t="n"/>
      <c r="M961" s="97" t="n"/>
      <c r="N961" s="97" t="n"/>
      <c r="O961" s="97" t="n"/>
      <c r="P961" s="97" t="n"/>
    </row>
    <row r="962" ht="15.75" customHeight="1" s="105">
      <c r="B962" s="97" t="n"/>
      <c r="D962" s="97" t="n"/>
      <c r="E962" s="97" t="n"/>
      <c r="F962" s="97" t="n"/>
      <c r="G962" s="97" t="n"/>
      <c r="H962" s="97" t="n"/>
      <c r="I962" s="97" t="n"/>
      <c r="J962" s="97" t="n"/>
      <c r="K962" s="97" t="n"/>
      <c r="L962" s="97" t="n"/>
      <c r="M962" s="97" t="n"/>
      <c r="N962" s="97" t="n"/>
      <c r="O962" s="97" t="n"/>
      <c r="P962" s="97" t="n"/>
    </row>
    <row r="963" ht="15.75" customHeight="1" s="105">
      <c r="B963" s="97" t="n"/>
      <c r="D963" s="97" t="n"/>
      <c r="E963" s="97" t="n"/>
      <c r="F963" s="97" t="n"/>
      <c r="G963" s="97" t="n"/>
      <c r="H963" s="97" t="n"/>
      <c r="I963" s="97" t="n"/>
      <c r="J963" s="97" t="n"/>
      <c r="K963" s="97" t="n"/>
      <c r="L963" s="97" t="n"/>
      <c r="M963" s="97" t="n"/>
      <c r="N963" s="97" t="n"/>
      <c r="O963" s="97" t="n"/>
      <c r="P963" s="97" t="n"/>
    </row>
    <row r="964" ht="15.75" customHeight="1" s="105">
      <c r="B964" s="97" t="n"/>
      <c r="D964" s="97" t="n"/>
      <c r="E964" s="97" t="n"/>
      <c r="F964" s="97" t="n"/>
      <c r="G964" s="97" t="n"/>
      <c r="H964" s="97" t="n"/>
      <c r="I964" s="97" t="n"/>
      <c r="J964" s="97" t="n"/>
      <c r="K964" s="97" t="n"/>
      <c r="L964" s="97" t="n"/>
      <c r="M964" s="97" t="n"/>
      <c r="N964" s="97" t="n"/>
      <c r="O964" s="97" t="n"/>
      <c r="P964" s="97" t="n"/>
    </row>
    <row r="965" ht="15.75" customHeight="1" s="105">
      <c r="B965" s="97" t="n"/>
      <c r="D965" s="97" t="n"/>
      <c r="E965" s="97" t="n"/>
      <c r="F965" s="97" t="n"/>
      <c r="G965" s="97" t="n"/>
      <c r="H965" s="97" t="n"/>
      <c r="I965" s="97" t="n"/>
      <c r="J965" s="97" t="n"/>
      <c r="K965" s="97" t="n"/>
      <c r="L965" s="97" t="n"/>
      <c r="M965" s="97" t="n"/>
      <c r="N965" s="97" t="n"/>
      <c r="O965" s="97" t="n"/>
      <c r="P965" s="97" t="n"/>
    </row>
    <row r="966" ht="15.75" customHeight="1" s="105">
      <c r="B966" s="97" t="n"/>
      <c r="D966" s="97" t="n"/>
      <c r="E966" s="97" t="n"/>
      <c r="F966" s="97" t="n"/>
      <c r="G966" s="97" t="n"/>
      <c r="H966" s="97" t="n"/>
      <c r="I966" s="97" t="n"/>
      <c r="J966" s="97" t="n"/>
      <c r="K966" s="97" t="n"/>
      <c r="L966" s="97" t="n"/>
      <c r="M966" s="97" t="n"/>
      <c r="N966" s="97" t="n"/>
      <c r="O966" s="97" t="n"/>
      <c r="P966" s="97" t="n"/>
    </row>
    <row r="967" ht="15.75" customHeight="1" s="105">
      <c r="B967" s="97" t="n"/>
      <c r="D967" s="97" t="n"/>
      <c r="E967" s="97" t="n"/>
      <c r="F967" s="97" t="n"/>
      <c r="G967" s="97" t="n"/>
      <c r="H967" s="97" t="n"/>
      <c r="I967" s="97" t="n"/>
      <c r="J967" s="97" t="n"/>
      <c r="K967" s="97" t="n"/>
      <c r="L967" s="97" t="n"/>
      <c r="M967" s="97" t="n"/>
      <c r="N967" s="97" t="n"/>
      <c r="O967" s="97" t="n"/>
      <c r="P967" s="97" t="n"/>
    </row>
    <row r="968" ht="15.75" customHeight="1" s="105">
      <c r="B968" s="97" t="n"/>
      <c r="D968" s="97" t="n"/>
      <c r="E968" s="97" t="n"/>
      <c r="F968" s="97" t="n"/>
      <c r="G968" s="97" t="n"/>
      <c r="H968" s="97" t="n"/>
      <c r="I968" s="97" t="n"/>
      <c r="J968" s="97" t="n"/>
      <c r="K968" s="97" t="n"/>
      <c r="L968" s="97" t="n"/>
      <c r="M968" s="97" t="n"/>
      <c r="N968" s="97" t="n"/>
      <c r="O968" s="97" t="n"/>
      <c r="P968" s="97" t="n"/>
    </row>
    <row r="969" ht="15.75" customHeight="1" s="105">
      <c r="B969" s="97" t="n"/>
      <c r="D969" s="97" t="n"/>
      <c r="E969" s="97" t="n"/>
      <c r="F969" s="97" t="n"/>
      <c r="G969" s="97" t="n"/>
      <c r="H969" s="97" t="n"/>
      <c r="I969" s="97" t="n"/>
      <c r="J969" s="97" t="n"/>
      <c r="K969" s="97" t="n"/>
      <c r="L969" s="97" t="n"/>
      <c r="M969" s="97" t="n"/>
      <c r="N969" s="97" t="n"/>
      <c r="O969" s="97" t="n"/>
      <c r="P969" s="97" t="n"/>
    </row>
    <row r="970" ht="15.75" customHeight="1" s="105">
      <c r="B970" s="97" t="n"/>
      <c r="D970" s="97" t="n"/>
      <c r="E970" s="97" t="n"/>
      <c r="F970" s="97" t="n"/>
      <c r="G970" s="97" t="n"/>
      <c r="H970" s="97" t="n"/>
      <c r="I970" s="97" t="n"/>
      <c r="J970" s="97" t="n"/>
      <c r="K970" s="97" t="n"/>
      <c r="L970" s="97" t="n"/>
      <c r="M970" s="97" t="n"/>
      <c r="N970" s="97" t="n"/>
      <c r="O970" s="97" t="n"/>
      <c r="P970" s="97" t="n"/>
    </row>
    <row r="971" ht="15.75" customHeight="1" s="105">
      <c r="B971" s="97" t="n"/>
      <c r="D971" s="97" t="n"/>
      <c r="E971" s="97" t="n"/>
      <c r="F971" s="97" t="n"/>
      <c r="G971" s="97" t="n"/>
      <c r="H971" s="97" t="n"/>
      <c r="I971" s="97" t="n"/>
      <c r="J971" s="97" t="n"/>
      <c r="K971" s="97" t="n"/>
      <c r="L971" s="97" t="n"/>
      <c r="M971" s="97" t="n"/>
      <c r="N971" s="97" t="n"/>
      <c r="O971" s="97" t="n"/>
      <c r="P971" s="97" t="n"/>
    </row>
    <row r="972" ht="15.75" customHeight="1" s="105">
      <c r="B972" s="97" t="n"/>
      <c r="D972" s="97" t="n"/>
      <c r="E972" s="97" t="n"/>
      <c r="F972" s="97" t="n"/>
      <c r="G972" s="97" t="n"/>
      <c r="H972" s="97" t="n"/>
      <c r="I972" s="97" t="n"/>
      <c r="J972" s="97" t="n"/>
      <c r="K972" s="97" t="n"/>
      <c r="L972" s="97" t="n"/>
      <c r="M972" s="97" t="n"/>
      <c r="N972" s="97" t="n"/>
      <c r="O972" s="97" t="n"/>
      <c r="P972" s="97" t="n"/>
    </row>
    <row r="973" ht="15.75" customHeight="1" s="105">
      <c r="B973" s="97" t="n"/>
      <c r="D973" s="97" t="n"/>
      <c r="E973" s="97" t="n"/>
      <c r="F973" s="97" t="n"/>
      <c r="G973" s="97" t="n"/>
      <c r="H973" s="97" t="n"/>
      <c r="I973" s="97" t="n"/>
      <c r="J973" s="97" t="n"/>
      <c r="K973" s="97" t="n"/>
      <c r="L973" s="97" t="n"/>
      <c r="M973" s="97" t="n"/>
      <c r="N973" s="97" t="n"/>
      <c r="O973" s="97" t="n"/>
      <c r="P973" s="97" t="n"/>
    </row>
    <row r="974" ht="15.75" customHeight="1" s="105">
      <c r="B974" s="97" t="n"/>
      <c r="D974" s="97" t="n"/>
      <c r="E974" s="97" t="n"/>
      <c r="F974" s="97" t="n"/>
      <c r="G974" s="97" t="n"/>
      <c r="H974" s="97" t="n"/>
      <c r="I974" s="97" t="n"/>
      <c r="J974" s="97" t="n"/>
      <c r="K974" s="97" t="n"/>
      <c r="L974" s="97" t="n"/>
      <c r="M974" s="97" t="n"/>
      <c r="N974" s="97" t="n"/>
      <c r="O974" s="97" t="n"/>
      <c r="P974" s="97" t="n"/>
    </row>
    <row r="975" ht="15.75" customHeight="1" s="105">
      <c r="B975" s="97" t="n"/>
      <c r="D975" s="97" t="n"/>
      <c r="E975" s="97" t="n"/>
      <c r="F975" s="97" t="n"/>
      <c r="G975" s="97" t="n"/>
      <c r="H975" s="97" t="n"/>
      <c r="I975" s="97" t="n"/>
      <c r="J975" s="97" t="n"/>
      <c r="K975" s="97" t="n"/>
      <c r="L975" s="97" t="n"/>
      <c r="M975" s="97" t="n"/>
      <c r="N975" s="97" t="n"/>
      <c r="O975" s="97" t="n"/>
      <c r="P975" s="97" t="n"/>
    </row>
    <row r="976" ht="15.75" customHeight="1" s="105">
      <c r="B976" s="97" t="n"/>
      <c r="D976" s="97" t="n"/>
      <c r="E976" s="97" t="n"/>
      <c r="F976" s="97" t="n"/>
      <c r="G976" s="97" t="n"/>
      <c r="H976" s="97" t="n"/>
      <c r="I976" s="97" t="n"/>
      <c r="J976" s="97" t="n"/>
      <c r="K976" s="97" t="n"/>
      <c r="L976" s="97" t="n"/>
      <c r="M976" s="97" t="n"/>
      <c r="N976" s="97" t="n"/>
      <c r="O976" s="97" t="n"/>
      <c r="P976" s="97" t="n"/>
    </row>
    <row r="977" ht="15.75" customHeight="1" s="105">
      <c r="B977" s="97" t="n"/>
      <c r="D977" s="97" t="n"/>
      <c r="E977" s="97" t="n"/>
      <c r="F977" s="97" t="n"/>
      <c r="G977" s="97" t="n"/>
      <c r="H977" s="97" t="n"/>
      <c r="I977" s="97" t="n"/>
      <c r="J977" s="97" t="n"/>
      <c r="K977" s="97" t="n"/>
      <c r="L977" s="97" t="n"/>
      <c r="M977" s="97" t="n"/>
      <c r="N977" s="97" t="n"/>
      <c r="O977" s="97" t="n"/>
      <c r="P977" s="97" t="n"/>
    </row>
    <row r="978" ht="15.75" customHeight="1" s="105">
      <c r="B978" s="97" t="n"/>
      <c r="D978" s="97" t="n"/>
      <c r="E978" s="97" t="n"/>
      <c r="F978" s="97" t="n"/>
      <c r="G978" s="97" t="n"/>
      <c r="H978" s="97" t="n"/>
      <c r="I978" s="97" t="n"/>
      <c r="J978" s="97" t="n"/>
      <c r="K978" s="97" t="n"/>
      <c r="L978" s="97" t="n"/>
      <c r="M978" s="97" t="n"/>
      <c r="N978" s="97" t="n"/>
      <c r="O978" s="97" t="n"/>
      <c r="P978" s="97" t="n"/>
    </row>
    <row r="979" ht="15.75" customHeight="1" s="105">
      <c r="B979" s="97" t="n"/>
      <c r="D979" s="97" t="n"/>
      <c r="E979" s="97" t="n"/>
      <c r="F979" s="97" t="n"/>
      <c r="G979" s="97" t="n"/>
      <c r="H979" s="97" t="n"/>
      <c r="I979" s="97" t="n"/>
      <c r="J979" s="97" t="n"/>
      <c r="K979" s="97" t="n"/>
      <c r="L979" s="97" t="n"/>
      <c r="M979" s="97" t="n"/>
      <c r="N979" s="97" t="n"/>
      <c r="O979" s="97" t="n"/>
      <c r="P979" s="97" t="n"/>
    </row>
    <row r="980" ht="15.75" customHeight="1" s="105">
      <c r="B980" s="97" t="n"/>
      <c r="D980" s="97" t="n"/>
      <c r="E980" s="97" t="n"/>
      <c r="F980" s="97" t="n"/>
      <c r="G980" s="97" t="n"/>
      <c r="H980" s="97" t="n"/>
      <c r="I980" s="97" t="n"/>
      <c r="J980" s="97" t="n"/>
      <c r="K980" s="97" t="n"/>
      <c r="L980" s="97" t="n"/>
      <c r="M980" s="97" t="n"/>
      <c r="N980" s="97" t="n"/>
      <c r="O980" s="97" t="n"/>
      <c r="P980" s="97" t="n"/>
    </row>
    <row r="981" ht="15.75" customHeight="1" s="105">
      <c r="B981" s="97" t="n"/>
      <c r="D981" s="97" t="n"/>
      <c r="E981" s="97" t="n"/>
      <c r="F981" s="97" t="n"/>
      <c r="G981" s="97" t="n"/>
      <c r="H981" s="97" t="n"/>
      <c r="I981" s="97" t="n"/>
      <c r="J981" s="97" t="n"/>
      <c r="K981" s="97" t="n"/>
      <c r="L981" s="97" t="n"/>
      <c r="M981" s="97" t="n"/>
      <c r="N981" s="97" t="n"/>
      <c r="O981" s="97" t="n"/>
      <c r="P981" s="97" t="n"/>
    </row>
    <row r="982" ht="15.75" customHeight="1" s="105">
      <c r="B982" s="97" t="n"/>
      <c r="D982" s="97" t="n"/>
      <c r="E982" s="97" t="n"/>
      <c r="F982" s="97" t="n"/>
      <c r="G982" s="97" t="n"/>
      <c r="H982" s="97" t="n"/>
      <c r="I982" s="97" t="n"/>
      <c r="J982" s="97" t="n"/>
      <c r="K982" s="97" t="n"/>
      <c r="L982" s="97" t="n"/>
      <c r="M982" s="97" t="n"/>
      <c r="N982" s="97" t="n"/>
      <c r="O982" s="97" t="n"/>
      <c r="P982" s="97" t="n"/>
    </row>
    <row r="983" ht="15.75" customHeight="1" s="105">
      <c r="B983" s="97" t="n"/>
      <c r="D983" s="97" t="n"/>
      <c r="E983" s="97" t="n"/>
      <c r="F983" s="97" t="n"/>
      <c r="G983" s="97" t="n"/>
      <c r="H983" s="97" t="n"/>
      <c r="I983" s="97" t="n"/>
      <c r="J983" s="97" t="n"/>
      <c r="K983" s="97" t="n"/>
      <c r="L983" s="97" t="n"/>
      <c r="M983" s="97" t="n"/>
      <c r="N983" s="97" t="n"/>
      <c r="O983" s="97" t="n"/>
      <c r="P983" s="97" t="n"/>
    </row>
    <row r="984" ht="15.75" customHeight="1" s="105">
      <c r="B984" s="97" t="n"/>
      <c r="D984" s="97" t="n"/>
      <c r="E984" s="97" t="n"/>
      <c r="F984" s="97" t="n"/>
      <c r="G984" s="97" t="n"/>
      <c r="H984" s="97" t="n"/>
      <c r="I984" s="97" t="n"/>
      <c r="J984" s="97" t="n"/>
      <c r="K984" s="97" t="n"/>
      <c r="L984" s="97" t="n"/>
      <c r="M984" s="97" t="n"/>
      <c r="N984" s="97" t="n"/>
      <c r="O984" s="97" t="n"/>
      <c r="P984" s="97" t="n"/>
    </row>
    <row r="985" ht="15.75" customHeight="1" s="105">
      <c r="B985" s="97" t="n"/>
      <c r="D985" s="97" t="n"/>
      <c r="E985" s="97" t="n"/>
      <c r="F985" s="97" t="n"/>
      <c r="G985" s="97" t="n"/>
      <c r="H985" s="97" t="n"/>
      <c r="I985" s="97" t="n"/>
      <c r="J985" s="97" t="n"/>
      <c r="K985" s="97" t="n"/>
      <c r="L985" s="97" t="n"/>
      <c r="M985" s="97" t="n"/>
      <c r="N985" s="97" t="n"/>
      <c r="O985" s="97" t="n"/>
      <c r="P985" s="97" t="n"/>
    </row>
    <row r="986" ht="15.75" customHeight="1" s="105">
      <c r="B986" s="97" t="n"/>
      <c r="D986" s="97" t="n"/>
      <c r="E986" s="97" t="n"/>
      <c r="F986" s="97" t="n"/>
      <c r="G986" s="97" t="n"/>
      <c r="H986" s="97" t="n"/>
      <c r="I986" s="97" t="n"/>
      <c r="J986" s="97" t="n"/>
      <c r="K986" s="97" t="n"/>
      <c r="L986" s="97" t="n"/>
      <c r="M986" s="97" t="n"/>
      <c r="N986" s="97" t="n"/>
      <c r="O986" s="97" t="n"/>
      <c r="P986" s="97" t="n"/>
    </row>
    <row r="987" ht="15.75" customHeight="1" s="105">
      <c r="B987" s="97" t="n"/>
      <c r="D987" s="97" t="n"/>
      <c r="E987" s="97" t="n"/>
      <c r="F987" s="97" t="n"/>
      <c r="G987" s="97" t="n"/>
      <c r="H987" s="97" t="n"/>
      <c r="I987" s="97" t="n"/>
      <c r="J987" s="97" t="n"/>
      <c r="K987" s="97" t="n"/>
      <c r="L987" s="97" t="n"/>
      <c r="M987" s="97" t="n"/>
      <c r="N987" s="97" t="n"/>
      <c r="O987" s="97" t="n"/>
      <c r="P987" s="97" t="n"/>
    </row>
    <row r="988" ht="15.75" customHeight="1" s="105">
      <c r="B988" s="97" t="n"/>
      <c r="D988" s="97" t="n"/>
      <c r="E988" s="97" t="n"/>
      <c r="F988" s="97" t="n"/>
      <c r="G988" s="97" t="n"/>
      <c r="H988" s="97" t="n"/>
      <c r="I988" s="97" t="n"/>
      <c r="J988" s="97" t="n"/>
      <c r="K988" s="97" t="n"/>
      <c r="L988" s="97" t="n"/>
      <c r="M988" s="97" t="n"/>
      <c r="N988" s="97" t="n"/>
      <c r="O988" s="97" t="n"/>
      <c r="P988" s="97" t="n"/>
    </row>
    <row r="989" ht="15.75" customHeight="1" s="105">
      <c r="B989" s="97" t="n"/>
      <c r="D989" s="97" t="n"/>
      <c r="E989" s="97" t="n"/>
      <c r="F989" s="97" t="n"/>
      <c r="G989" s="97" t="n"/>
      <c r="H989" s="97" t="n"/>
      <c r="I989" s="97" t="n"/>
      <c r="J989" s="97" t="n"/>
      <c r="K989" s="97" t="n"/>
      <c r="L989" s="97" t="n"/>
      <c r="M989" s="97" t="n"/>
      <c r="N989" s="97" t="n"/>
      <c r="O989" s="97" t="n"/>
      <c r="P989" s="97" t="n"/>
    </row>
    <row r="990" ht="15.75" customHeight="1" s="105">
      <c r="B990" s="97" t="n"/>
      <c r="D990" s="97" t="n"/>
      <c r="E990" s="97" t="n"/>
      <c r="F990" s="97" t="n"/>
      <c r="G990" s="97" t="n"/>
      <c r="H990" s="97" t="n"/>
      <c r="I990" s="97" t="n"/>
      <c r="J990" s="97" t="n"/>
      <c r="K990" s="97" t="n"/>
      <c r="L990" s="97" t="n"/>
      <c r="M990" s="97" t="n"/>
      <c r="N990" s="97" t="n"/>
      <c r="O990" s="97" t="n"/>
      <c r="P990" s="97" t="n"/>
    </row>
    <row r="991" ht="15.75" customHeight="1" s="105">
      <c r="B991" s="97" t="n"/>
      <c r="D991" s="97" t="n"/>
      <c r="E991" s="97" t="n"/>
      <c r="F991" s="97" t="n"/>
      <c r="G991" s="97" t="n"/>
      <c r="H991" s="97" t="n"/>
      <c r="I991" s="97" t="n"/>
      <c r="J991" s="97" t="n"/>
      <c r="K991" s="97" t="n"/>
      <c r="L991" s="97" t="n"/>
      <c r="M991" s="97" t="n"/>
      <c r="N991" s="97" t="n"/>
      <c r="O991" s="97" t="n"/>
      <c r="P991" s="97" t="n"/>
    </row>
    <row r="992" ht="15.75" customHeight="1" s="105">
      <c r="B992" s="97" t="n"/>
      <c r="D992" s="97" t="n"/>
      <c r="E992" s="97" t="n"/>
      <c r="F992" s="97" t="n"/>
      <c r="G992" s="97" t="n"/>
      <c r="H992" s="97" t="n"/>
      <c r="I992" s="97" t="n"/>
      <c r="J992" s="97" t="n"/>
      <c r="K992" s="97" t="n"/>
      <c r="L992" s="97" t="n"/>
      <c r="M992" s="97" t="n"/>
      <c r="N992" s="97" t="n"/>
      <c r="O992" s="97" t="n"/>
      <c r="P992" s="97" t="n"/>
    </row>
    <row r="993" ht="15.75" customHeight="1" s="105">
      <c r="B993" s="97" t="n"/>
      <c r="D993" s="97" t="n"/>
      <c r="E993" s="97" t="n"/>
      <c r="F993" s="97" t="n"/>
      <c r="G993" s="97" t="n"/>
      <c r="H993" s="97" t="n"/>
      <c r="I993" s="97" t="n"/>
      <c r="J993" s="97" t="n"/>
      <c r="K993" s="97" t="n"/>
      <c r="L993" s="97" t="n"/>
      <c r="M993" s="97" t="n"/>
      <c r="N993" s="97" t="n"/>
      <c r="O993" s="97" t="n"/>
      <c r="P993" s="97" t="n"/>
    </row>
    <row r="994" ht="15.75" customHeight="1" s="105">
      <c r="B994" s="97" t="n"/>
      <c r="D994" s="97" t="n"/>
      <c r="E994" s="97" t="n"/>
      <c r="F994" s="97" t="n"/>
      <c r="G994" s="97" t="n"/>
      <c r="H994" s="97" t="n"/>
      <c r="I994" s="97" t="n"/>
      <c r="J994" s="97" t="n"/>
      <c r="K994" s="97" t="n"/>
      <c r="L994" s="97" t="n"/>
      <c r="M994" s="97" t="n"/>
      <c r="N994" s="97" t="n"/>
      <c r="O994" s="97" t="n"/>
      <c r="P994" s="97" t="n"/>
    </row>
    <row r="995" ht="15.75" customHeight="1" s="105">
      <c r="B995" s="97" t="n"/>
      <c r="D995" s="97" t="n"/>
      <c r="E995" s="97" t="n"/>
      <c r="F995" s="97" t="n"/>
      <c r="G995" s="97" t="n"/>
      <c r="H995" s="97" t="n"/>
      <c r="I995" s="97" t="n"/>
      <c r="J995" s="97" t="n"/>
      <c r="K995" s="97" t="n"/>
      <c r="L995" s="97" t="n"/>
      <c r="M995" s="97" t="n"/>
      <c r="N995" s="97" t="n"/>
      <c r="O995" s="97" t="n"/>
      <c r="P995" s="97" t="n"/>
    </row>
    <row r="996" ht="15.75" customHeight="1" s="105">
      <c r="B996" s="97" t="n"/>
      <c r="D996" s="97" t="n"/>
      <c r="E996" s="97" t="n"/>
      <c r="F996" s="97" t="n"/>
      <c r="G996" s="97" t="n"/>
      <c r="H996" s="97" t="n"/>
      <c r="I996" s="97" t="n"/>
      <c r="J996" s="97" t="n"/>
      <c r="K996" s="97" t="n"/>
      <c r="L996" s="97" t="n"/>
      <c r="M996" s="97" t="n"/>
      <c r="N996" s="97" t="n"/>
      <c r="O996" s="97" t="n"/>
      <c r="P996" s="97" t="n"/>
    </row>
    <row r="997" ht="15.75" customHeight="1" s="105">
      <c r="B997" s="97" t="n"/>
      <c r="D997" s="97" t="n"/>
      <c r="E997" s="97" t="n"/>
      <c r="F997" s="97" t="n"/>
      <c r="G997" s="97" t="n"/>
      <c r="H997" s="97" t="n"/>
      <c r="I997" s="97" t="n"/>
      <c r="J997" s="97" t="n"/>
      <c r="K997" s="97" t="n"/>
      <c r="L997" s="97" t="n"/>
      <c r="M997" s="97" t="n"/>
      <c r="N997" s="97" t="n"/>
      <c r="O997" s="97" t="n"/>
      <c r="P997" s="97" t="n"/>
    </row>
    <row r="998" ht="15.75" customHeight="1" s="105">
      <c r="B998" s="97" t="n"/>
      <c r="D998" s="97" t="n"/>
      <c r="E998" s="97" t="n"/>
      <c r="F998" s="97" t="n"/>
      <c r="G998" s="97" t="n"/>
      <c r="H998" s="97" t="n"/>
      <c r="I998" s="97" t="n"/>
      <c r="J998" s="97" t="n"/>
      <c r="K998" s="97" t="n"/>
      <c r="L998" s="97" t="n"/>
      <c r="M998" s="97" t="n"/>
      <c r="N998" s="97" t="n"/>
      <c r="O998" s="97" t="n"/>
      <c r="P998" s="97" t="n"/>
    </row>
    <row r="999" ht="15.75" customHeight="1" s="105">
      <c r="B999" s="97" t="n"/>
      <c r="D999" s="97" t="n"/>
      <c r="E999" s="97" t="n"/>
      <c r="F999" s="97" t="n"/>
      <c r="G999" s="97" t="n"/>
      <c r="H999" s="97" t="n"/>
      <c r="I999" s="97" t="n"/>
      <c r="J999" s="97" t="n"/>
      <c r="K999" s="97" t="n"/>
      <c r="L999" s="97" t="n"/>
      <c r="M999" s="97" t="n"/>
      <c r="N999" s="97" t="n"/>
      <c r="O999" s="97" t="n"/>
      <c r="P999" s="97" t="n"/>
    </row>
    <row r="1000" ht="15.75" customHeight="1" s="105">
      <c r="B1000" s="97" t="n"/>
      <c r="D1000" s="97" t="n"/>
      <c r="E1000" s="97" t="n"/>
      <c r="F1000" s="97" t="n"/>
      <c r="G1000" s="97" t="n"/>
      <c r="H1000" s="97" t="n"/>
      <c r="I1000" s="97" t="n"/>
      <c r="J1000" s="97" t="n"/>
      <c r="K1000" s="97" t="n"/>
      <c r="L1000" s="97" t="n"/>
      <c r="M1000" s="97" t="n"/>
      <c r="N1000" s="97" t="n"/>
      <c r="O1000" s="97" t="n"/>
      <c r="P1000" s="97" t="n"/>
    </row>
  </sheetData>
  <mergeCells count="4">
    <mergeCell ref="B8:D8"/>
    <mergeCell ref="B9:E9"/>
    <mergeCell ref="B24:D24"/>
    <mergeCell ref="B1:F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2026-04-27T03:46:43Z</dcterms:created>
  <dcterms:modified xsi:type="dcterms:W3CDTF">2026-04-27T03:46:43Z</dcterms:modified>
</cp:coreProperties>
</file>